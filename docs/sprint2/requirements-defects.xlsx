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ivasa\fb44_autorate\docs\sprint2\"/>
    </mc:Choice>
  </mc:AlternateContent>
  <xr:revisionPtr revIDLastSave="0" documentId="13_ncr:1_{F4664195-7A4E-4A1C-9F72-1B78F9D81D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еєстр" sheetId="1" r:id="rId1"/>
    <sheet name="Розподіл розділів" sheetId="2" r:id="rId2"/>
    <sheet name="Спірні" sheetId="3" r:id="rId3"/>
    <sheet name="Підсумок" sheetId="4" r:id="rId4"/>
    <sheet name="ТА_аудит" sheetId="5" r:id="rId5"/>
    <sheet name="ІТ_аудит" sheetId="6" r:id="rId6"/>
    <sheet name="СМ_аудит" sheetId="7" r:id="rId7"/>
    <sheet name="КТ_аудит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4" l="1"/>
  <c r="B7" i="4"/>
  <c r="D7" i="4" s="1"/>
  <c r="B6" i="4"/>
  <c r="D6" i="4" s="1"/>
  <c r="B5" i="4"/>
  <c r="D5" i="4" s="1"/>
  <c r="B4" i="4"/>
  <c r="D4" i="4" s="1"/>
  <c r="B3" i="4"/>
  <c r="D3" i="4" s="1"/>
  <c r="B2" i="4"/>
  <c r="D2" i="4" s="1"/>
</calcChain>
</file>

<file path=xl/sharedStrings.xml><?xml version="1.0" encoding="utf-8"?>
<sst xmlns="http://schemas.openxmlformats.org/spreadsheetml/2006/main" count="629" uniqueCount="329">
  <si>
    <t>№</t>
  </si>
  <si>
    <t>ID вимоги</t>
  </si>
  <si>
    <t>Критерій</t>
  </si>
  <si>
    <t>Пункт чек-листа</t>
  </si>
  <si>
    <t>Опис дефекту</t>
  </si>
  <si>
    <t>Пропозиція виправлення</t>
  </si>
  <si>
    <t>Статус</t>
  </si>
  <si>
    <t>Посилання</t>
  </si>
  <si>
    <t>F-10</t>
  </si>
  <si>
    <t>однозначність</t>
  </si>
  <si>
    <t>п. 1, 4</t>
  </si>
  <si>
    <t>«Popular Make/Popular Model» — немає однозначного правила визначення популярності та розв’язання нічиєї.</t>
  </si>
  <si>
    <t>Асташов Іван</t>
  </si>
  <si>
    <t>RD-01</t>
  </si>
  <si>
    <t>F-30</t>
  </si>
  <si>
    <t>п. 2, 4</t>
  </si>
  <si>
    <t>«достатньо складним» не дає єдиного трактування правила пароля.</t>
  </si>
  <si>
    <t>Кінаш Єгор</t>
  </si>
  <si>
    <t>RD-02</t>
  </si>
  <si>
    <t>GUI-20</t>
  </si>
  <si>
    <t>«належним чином» не вказує, за яких саме умов кнопка Register активна.</t>
  </si>
  <si>
    <t>Рушай Євген</t>
  </si>
  <si>
    <t>RD-03</t>
  </si>
  <si>
    <t>BL-80</t>
  </si>
  <si>
    <t>п. 2, 5</t>
  </si>
  <si>
    <t>«окреме слово» у стоп-списку не визначає межі слова і поведінку щодо «spam!» / «spammer».</t>
  </si>
  <si>
    <t>Дарина Поломарьова</t>
  </si>
  <si>
    <t>RD-04</t>
  </si>
  <si>
    <t>F-40</t>
  </si>
  <si>
    <t>повнота</t>
  </si>
  <si>
    <t>п. 4, 5</t>
  </si>
  <si>
    <t>Не описано, що відбувається за неправильного логіна або пароля (сама GUI-30 визначає тільки розміщення повідомлення).</t>
  </si>
  <si>
    <t>RD-05</t>
  </si>
  <si>
    <t>F-140</t>
  </si>
  <si>
    <t>Не визначено стан таблиці/пагінації, якщо моделей 0.</t>
  </si>
  <si>
    <t>RD-06</t>
  </si>
  <si>
    <t>BL-70</t>
  </si>
  <si>
    <t>Для сортування за rating не визначено порядок моделей з однаковим рейтингом.</t>
  </si>
  <si>
    <t>RD-07</t>
  </si>
  <si>
    <t>D-10</t>
  </si>
  <si>
    <t>п. 3</t>
  </si>
  <si>
    <t>Посилання на «АР-СТД-07», який не надано, робить неможливою перевірку довідки.</t>
  </si>
  <si>
    <t>RD-08</t>
  </si>
  <si>
    <t>F-60</t>
  </si>
  <si>
    <t>несуперечливість</t>
  </si>
  <si>
    <t>п. 2</t>
  </si>
  <si>
    <t>Ранг визначається кількістю голосів, а F-130 — рейтингом за BL-10.</t>
  </si>
  <si>
    <t>RD-09</t>
  </si>
  <si>
    <t>BL-50</t>
  </si>
  <si>
    <t>BL-50 дозволяє порожній коментар/null, F-90 забороняє голос без коментаря.</t>
  </si>
  <si>
    <t>RD-10</t>
  </si>
  <si>
    <t>F-130</t>
  </si>
  <si>
    <t>Мінімальний поріг у F-130 — 5 голосів, а у BL-20 — 3 голоси.</t>
  </si>
  <si>
    <t>RD-11</t>
  </si>
  <si>
    <t>GUI-60</t>
  </si>
  <si>
    <t>GUI-60 задає 10 рядків на сторінці, F-140 — 5 рядків.</t>
  </si>
  <si>
    <t>RD-12</t>
  </si>
  <si>
    <t>S-20</t>
  </si>
  <si>
    <t>п. 1</t>
  </si>
  <si>
    <t>У межах однієї вимоги сеанс «безстроковий» і одночасно закінчується через 30 хвилин.</t>
  </si>
  <si>
    <t>RD-13</t>
  </si>
  <si>
    <t>GUI-40 (2-й)</t>
  </si>
  <si>
    <t>простежуваність</t>
  </si>
  <si>
    <t>п. 2, 3</t>
  </si>
  <si>
    <t>Дві різні вимоги з однаковим ідентифікатором GUI-40.</t>
  </si>
  <si>
    <t>RD-14</t>
  </si>
  <si>
    <t>розд. 6, без ID</t>
  </si>
  <si>
    <t>Вимога «Паролі користувачів зберігаються лише у вигляді хешу» стоїть без ID.</t>
  </si>
  <si>
    <t>RD-15</t>
  </si>
  <si>
    <t>F-120</t>
  </si>
  <si>
    <t>п. 1, 5</t>
  </si>
  <si>
    <t>F-120 повторює функціональність F-70 і частину F-10 про Overall Rating.</t>
  </si>
  <si>
    <t>RD-16</t>
  </si>
  <si>
    <t>F-100</t>
  </si>
  <si>
    <t>Посилання на BL-35, якого немає у SRS (наявний BL-30).</t>
  </si>
  <si>
    <t>RD-17</t>
  </si>
  <si>
    <t>F-110</t>
  </si>
  <si>
    <t>здійсненність</t>
  </si>
  <si>
    <t>Перевірка адреси, телефону й віку за державними реєстрами вимагає недоступних інтеграцій.</t>
  </si>
  <si>
    <t>RD-18</t>
  </si>
  <si>
    <t>BL-60</t>
  </si>
  <si>
    <t>Розпізнавання будь-яких друкарських помилок, транслітерації й наміру будь-якою мовою неможливо гарантувати.</t>
  </si>
  <si>
    <t>RD-19</t>
  </si>
  <si>
    <t>«працювати без помилок за будь-яких вхідних даних» не враховує помилкові аргументи.</t>
  </si>
  <si>
    <t>RD-20</t>
  </si>
  <si>
    <t>P-10</t>
  </si>
  <si>
    <t>50 мс навіть через 2G і незалежно від розміру каталогу технічно не гарантовані.</t>
  </si>
  <si>
    <t>RD-21</t>
  </si>
  <si>
    <t>GUI-70</t>
  </si>
  <si>
    <t>тестопридатність</t>
  </si>
  <si>
    <t>критерій «можливо тест-кейс pass/fail»</t>
  </si>
  <si>
    <t>«зручно ... не викликати труднощів» не має спостережуваного критерію проходження.</t>
  </si>
  <si>
    <t>RD-22</t>
  </si>
  <si>
    <t>P-20</t>
  </si>
  <si>
    <t>«працювати швидко» — відсутні одиниці вимірювання й умови.</t>
  </si>
  <si>
    <t>RD-23</t>
  </si>
  <si>
    <t>U-10</t>
  </si>
  <si>
    <t>«інтуїтивно ... для будь-якого» неможливо перевірити з відтворюваним результатом.</t>
  </si>
  <si>
    <t>RD-24</t>
  </si>
  <si>
    <t>S-10</t>
  </si>
  <si>
    <t>«унеможливити будь-які спроби доступу» не дозволяє скінченного набору перевірок.</t>
  </si>
  <si>
    <t>RD-25</t>
  </si>
  <si>
    <t>Розділ SRS</t>
  </si>
  <si>
    <t>Аудитор 1</t>
  </si>
  <si>
    <t>Аудитор 2</t>
  </si>
  <si>
    <t>Особлива увага</t>
  </si>
  <si>
    <t>1. Вступ</t>
  </si>
  <si>
    <t>терміни; межі; джерела</t>
  </si>
  <si>
    <t>2. Загальний опис</t>
  </si>
  <si>
    <t>ролі; сеанси; обмеження</t>
  </si>
  <si>
    <t>3. Функціональні вимоги</t>
  </si>
  <si>
    <t>популярність; ранги; реєстрація; голос</t>
  </si>
  <si>
    <t>4. GUI-вимоги</t>
  </si>
  <si>
    <t>ідентифікатори; форми; пагінація</t>
  </si>
  <si>
    <t>5. Бізнес-логіка</t>
  </si>
  <si>
    <t>topN, validate, search, stopwords</t>
  </si>
  <si>
    <t>6. Нефункціональні вимоги</t>
  </si>
  <si>
    <t>продуктивність; безпека; довідка</t>
  </si>
  <si>
    <t>ID</t>
  </si>
  <si>
    <t>Питання</t>
  </si>
  <si>
    <t>Аргументи</t>
  </si>
  <si>
    <t>Робоче рішення</t>
  </si>
  <si>
    <t>Q-01</t>
  </si>
  <si>
    <t>F-130 / BL-20</t>
  </si>
  <si>
    <t>BL-20 задає поріг 3, F-130 — 5</t>
  </si>
  <si>
    <t>Q-02</t>
  </si>
  <si>
    <t>F-60 / F-130</t>
  </si>
  <si>
    <t>Замовлена функція рейтингу тижня використовує зважені оцінки</t>
  </si>
  <si>
    <t>Q-03</t>
  </si>
  <si>
    <t>«достатньо складним» не має чисел</t>
  </si>
  <si>
    <t>Q-04</t>
  </si>
  <si>
    <t>S-10 / S-20</t>
  </si>
  <si>
    <t>Не задано конкретної кількості спроб у S-10</t>
  </si>
  <si>
    <t>Q-05</t>
  </si>
  <si>
    <t>P-10 / P-20</t>
  </si>
  <si>
    <t>50 мс навіть на 2G недосяжне</t>
  </si>
  <si>
    <t>Q-06</t>
  </si>
  <si>
    <t>Дві вимоги описують один список рейтингів</t>
  </si>
  <si>
    <t>Q-07</t>
  </si>
  <si>
    <t>BL-50 / F-90</t>
  </si>
  <si>
    <t>UI не приймає, а модуль приймає</t>
  </si>
  <si>
    <t>Кількість дефектів</t>
  </si>
  <si>
    <t>Норматив</t>
  </si>
  <si>
    <t>Перевірка</t>
  </si>
  <si>
    <t>Разом</t>
  </si>
  <si>
    <t>Норматив для 4 осіб</t>
  </si>
  <si>
    <t>Активних вимог SRS 1.1</t>
  </si>
  <si>
    <t>Рівнів тестування</t>
  </si>
  <si>
    <t>Застосовних типів</t>
  </si>
  <si>
    <t>Розглянуто типів</t>
  </si>
  <si>
    <t>Хто знайшов</t>
  </si>
  <si>
    <t>«Popular Make» визначається за найбільшою сумарною кількістю голосів за моделі марки, «Popular Model» — за найбільшою кількістю голосів за модель. За однакової кількості голосів обирається назва за алфавітом без урахування регістру.</t>
  </si>
  <si>
    <t>Асташов Іван; Кінаш Єгор</t>
  </si>
  <si>
    <t>Прийнято</t>
  </si>
  <si>
    <t>Під час реєстрації система перевіряє, що всі поля заповнені, значення полів «Password» і «Confirm Password» збігаються, а пароль містить від 8 до 64 символів, щонайменше одну латинську літеру та одну цифру. У разі порушення система показує повідомлення про помилку під формою і не створює обліковий запис.</t>
  </si>
  <si>
    <t>На сторінці реєстрації кнопка «Register» неактивна, поки хоча б одне обов’язкове поле порожнє, паролі не збігаються або пароль не відповідає F-30. Кнопка стає активною тільки після виконання всіх цих умов.</t>
  </si>
  <si>
    <t>Рушай Євген; Дарина Поломарьова</t>
  </si>
  <si>
    <t>Словом є послідовність літер Unicode; роздільники — будь-які інші символи. Збіг повного слова без урахування регістру: «spam!» заборонено, «spammer» — ні.</t>
  </si>
  <si>
    <t>Кінаш Єгор; Рушай Євген</t>
  </si>
  <si>
    <t>Якщо логін не існує або пароль неправильний, вхід не виконується, сторінка не змінюється і поряд із формою показується «Invalid login or password».</t>
  </si>
  <si>
    <t>Якщо таблиця порожня, показується «No models found», пагінація не відображається.</t>
  </si>
  <si>
    <t>ModelSearch.sortByRating(models): повертає новий список за спаданням числового рейтингу; для однакових рейтингів — за повною назвою (марка + модель) за алфавітом без урахування регістру. Оригінальний список не змінюється; null-колекція — IllegalArgumentException.</t>
  </si>
  <si>
    <t>До пакета постачання входить довідка користувача українською мовою у форматі Markdown або PDF із розділами «Реєстрація та вхід», «Перегляд каталогу», «Голосування», «Профіль», «Типові помилки». Кожна дія має назву кнопки чи екрана, послідовність кроків і очікуваний результат; зовнішній стандарт оформлення для цієї версії не застосовується.</t>
  </si>
  <si>
    <t>Асташов Іван; Дарина Поломарьова</t>
  </si>
  <si>
    <t>Моделі з щонайменше 3 голосами отримують ранг за спаданням зваженого рейтингу BL-10; при однаковому рейтингу порядок визначається за повною назвою марки й моделі без урахування регістру (BL-20). Моделі з менш ніж 3 голосами відображаються після ранжованих із позначкою «—» у полі «Rank»; порядок серед них — за назвою.</t>
  </si>
  <si>
    <t>Коментар обов’язковий: null, порожній рядок або рядок тільки з пробілів відхиляється з повідомленням «порожній коментар». Максимальна довжина — 200 символів Unicode; якщо перевищено — «коментар задовгий». Це правило однакове для вебформи та VoteValidator.validate.</t>
  </si>
  <si>
    <t>Рейтинг моделі обчислюється як зважене середнє за BL-10. Ранги в межах марки і загального рейтингу визначаються за спаданням цього рейтингу з алфавітним правилом для рівних значень (BL-20). Для ранжування модель повинна мати щонайменше 3 зараховані голоси. Моделі з меншою кількістю голосів залишаються у каталозі, але не беруть участі в загальному ранжуванні.</t>
  </si>
  <si>
    <t>Таблиці моделей розбиваються на сторінки по 5 рядків; елементи навігації ««», «»» і напис «page X of Y» розміщено безпосередньо під таблицею, вирівняно по центру.</t>
  </si>
  <si>
    <t>Сеанс користувача завершується після натискання «Logout» або після 30 хвилин бездіяльності. Після завершення сеансу сторінка профілю й голосування недоступні до повторного входу. Активні дії користувача скидають таймер бездіяльності.</t>
  </si>
  <si>
    <t>Друга вимога GUI-40 має ідентифікатор GUI-45: На сторінці профілю поля «Hobby» і «Language» реалізовано як випадні списки, поле «Age» приймає лише цілі невід'ємні числа; кнопка «Save» неактивна, доки жодне поле не змінено.</t>
  </si>
  <si>
    <t>S-15: Паролі користувачів зберігаються лише у вигляді хешу; у відповідях сервера і в адресному рядку пароль не передається.</t>
  </si>
  <si>
    <t>F-120 вилучено як дубль. Перелік моделей визначає F-70, перехід до нього — F-10. Ідентифікатор F-120 не використовується повторно.</t>
  </si>
  <si>
    <t>Користувач може віддати лише один голос за кожну модель (правило BL-30): після зарахування голосу форма голосування на сторінці цієї моделі для цього користувача більше не відображається, а повторний голос відхиляється.</t>
  </si>
  <si>
    <t>Вік — ціле число від 0 до 120, телефон — «+» та від 10 до 15 цифр, адреса — до 200 символів. Порушення формату блокує збереження і показує повідомлення біля поля. Дані не звіряються з державними реєстрами.</t>
  </si>
  <si>
    <t>ModelSearch.search(query, models): пошук без урахування регістру за префіксом назви марки або моделі. Порожній, пробільний або null-запит повертає порожній список; null-колекція — IllegalArgumentException. Результати зберігають порядок вхідного списку. Виправлення описок, транслітерація та семантичний пошук не входять у версію 1.1.</t>
  </si>
  <si>
    <t>Для null замість колекції методи викидають IllegalArgumentException. Некоректні оцінка та репутація в RatingAggregator.average обробляються за BL-10, а порушення правил голосу у VoteValidator.validate повертаються як повідомлення за BL-30, BL-40 і BL-50. ModelSearch.search для null-запиту повертає порожній список за BL-60.</t>
  </si>
  <si>
    <t>На контрольованому тестовому середовищі (Chrome, 10 Мбіт/с, RTT 100 мс, каталог до 1 000 моделей) 95-й перцентиль повного завантаження сторінки Overall Rating не перевищує 3 с у 30 послідовних вимірюваннях. Час відповіді зовнішньої мережі з довільними параметрами не гарантується.</t>
  </si>
  <si>
    <t>Форма профілю має видимі підписи для всіх полів, повідомлення про помилку розміщується безпосередньо біля відповідного поля, а збереження доступне з клавіатури. У перевірці на 5 нових користувачах щонайменше 4 мають змінити номер телефону і зберегти профіль за 3 хвилини без сторонньої допомоги.</t>
  </si>
  <si>
    <t>На контрольованому тестовому стенді за одного активного користувача 95-й перцентиль часу відкриття сторінки моделі не перевищує 2,5 с, а часу підтвердження голосу — 2 с (по 30 вимірювань). Відлік — від дії користувача до відображення повного результату.</t>
  </si>
  <si>
    <t>Під час перевірки на 5 нових користувачах не менше 4 учасників без інструктажу повинні знайти модель у каталозі, відкрити картку та визначити, як проголосувати, не довше ніж за 3 хвилини. Результат фіксує спостерігач; доступ до голосування можливий після входу.</t>
  </si>
  <si>
    <t>Сторінка «Profile» та дія голосування потребують дійсного сеансу; без входу система відмовляє в доступі й не змінює дані. Після 5 невдалих спроб входу для одного логіна за 15 хвилин наступний вхід для нього блокується на 15 хвилин з повідомленням про тимчасове блокування. Перевіряють правильні і неправильні облікові дані та доступ за прямим URL.</t>
  </si>
  <si>
    <t>Мінімум голосів — 3 чи 5?</t>
  </si>
  <si>
    <t>Прийнято 3, оскільки саме так формулюється BL-20, який тестуватиметься JUnit.</t>
  </si>
  <si>
    <t>Ранг залежить від голосів чи зваженої оцінки?</t>
  </si>
  <si>
    <t>Для рангу — зважений рейтинг за BL-10; Popular Model за кількістю голосів (F-10).</t>
  </si>
  <si>
    <t>Яка точна складність пароля?</t>
  </si>
  <si>
    <t>8–64 символи, щонайменше одна латинська літера й одна цифра; правило зафіксовано у F-30.</t>
  </si>
  <si>
    <t>Ліміти невдалого входу і тривалість сеансу?</t>
  </si>
  <si>
    <t>5 спроб за 15 хв / блок 15 хв, завершення після 30 хв бездіяльності.</t>
  </si>
  <si>
    <t>Чи прийнятні контрольовані пороги p95 та середовище?</t>
  </si>
  <si>
    <t>P-10: p95 ≤3 с; P-20: відкриття моделі ≤2,5 с, підтвердження голосу ≤2 с. Контрольоване середовище, по 30 вимірювань.</t>
  </si>
  <si>
    <t>Чи можна вилучити дубль вимоги?</t>
  </si>
  <si>
    <t>Так: весь зміст F-120 покритий F-70 і F-10, ID не використовується повторно.</t>
  </si>
  <si>
    <t>Коментар обов’язковий на всіх рівнях?</t>
  </si>
  <si>
    <t>Так, інакше через модуль можна прийняти голос без коментаря.</t>
  </si>
  <si>
    <t>Запис / RD — Асташов Іван</t>
  </si>
  <si>
    <t>Підстава у SRS 1.0</t>
  </si>
  <si>
    <t>Результат перевірки</t>
  </si>
  <si>
    <t>Висновок</t>
  </si>
  <si>
    <t>Дата запису</t>
  </si>
  <si>
    <t>ТА-01 / RD-01</t>
  </si>
  <si>
    <t>Стор. 3, F-10: «Popular Make»; «Popular Model» — спосіб визначення популярності не заданий.</t>
  </si>
  <si>
    <t>Затверджено</t>
  </si>
  <si>
    <t>F-10 описує вміст блоків, але не спосіб вибору популярної марки й моделі. У редакції 1.1 популярність визначається кількістю голосів, а рівні значення — алфавітним порядком назв.</t>
  </si>
  <si>
    <t>ТА-02 / RD-02</t>
  </si>
  <si>
    <t>Стор. 3, F-30: «пароль є достатньо складним»</t>
  </si>
  <si>
    <t>Вислів «достатньо складним» не задає обмежень довжини або складу пароля. F-30 тепер прямо визначає 8–64 символи, латинську літеру та цифру; інші поля й поведінка помилки збережені.</t>
  </si>
  <si>
    <t>ТА-03 / RD-05</t>
  </si>
  <si>
    <t>Стор. 3, F-40: Описано лише успішний вхід; результат для неправильних даних відсутній.</t>
  </si>
  <si>
    <t>F-40 містить тільки успішний вхід; GUI-30 описує розміщення помилки, але не результат авторизації. Додано явну відмову, збереження поточної сторінки й текст «Invalid login or password».</t>
  </si>
  <si>
    <t>ТА-04 / RD-06</t>
  </si>
  <si>
    <t>Стор. 4, F-140: Визначені сторінки по 5 рядків; стан таблиці з 0 моделей відсутній.</t>
  </si>
  <si>
    <t>F-140 задає навігацію першою й останньою сторінкою, але не визначає стан порожнього каталогу. Для нуля моделей тепер встановлено текст «No models found» і відсутність пагінації.</t>
  </si>
  <si>
    <t>ТА-05 / RD-08</t>
  </si>
  <si>
    <t>Стор. 6, D-10: «відповідно до стандарту оформлення документації «АР-СТД-07»»</t>
  </si>
  <si>
    <t>D-10 вимагає відповідності АР-СТД-07, однак текст стандарту не входить до вихідних матеріалів. Його замінено самодостатнім переліком п’яти розділів довідки, формату та змісту опису кожної дії.</t>
  </si>
  <si>
    <t>ТА-06 / RD-09</t>
  </si>
  <si>
    <t>Стор. 3, F-60: F-60: «ранг 1 має модель із найбільшою кількістю голосів»; F-130 / BL-20: спадання рейтингу.</t>
  </si>
  <si>
    <t>F-60 і термін «Ранг» визначали перше місце кількістю голосів, а F-130 та BL-20 — зваженим рейтингом. Встановлено рейтинг за BL-10 і правило рівності BL-20; F-70 та словник приведено до цього визначення.</t>
  </si>
  <si>
    <t>ТА-07 / RD-11</t>
  </si>
  <si>
    <t>Стор. 4, F-130: F-130: «щонайменше 5 голосів»; BL-20: «лише з ≥3 голосами».</t>
  </si>
  <si>
    <t>У F-130 поріг дорівнював 5 голосам, у BL-20 — 3. Для редакції 1.1 прийнято 3 голоси. Моделі з меншою кількістю лишаються в каталозі без рангу; F-60 і F-70 мають таку саму умову.</t>
  </si>
  <si>
    <t>ТА-08 / RD-13</t>
  </si>
  <si>
    <t>Стор. 6, S-20: «зберігається безстроково»; «після 30 хвилин неактивності сеанс автоматично завершується».</t>
  </si>
  <si>
    <t>У S-20 одночасно вказані безстроковість і завершення після 30 хвилин. Безстроковість вилучено: завершення настає після Logout або 30 хвилин бездіяльності; визначення сеансу оновлено.</t>
  </si>
  <si>
    <t>ТА-09 / RD-15</t>
  </si>
  <si>
    <t>Стор. 6, розд. 6, без ID: Паролі користувачів зберігаються лише у вигляді хешу; у відповідях сервера і в адресному рядку пароль не передається.</t>
  </si>
  <si>
    <t>Рядок про хешування та непередавання пароля у відповідях і адресному рядку не мав ID. Йому присвоєно S-15. Текст вимоги та пріоритет High збережені дослівно.</t>
  </si>
  <si>
    <t>ТА-10 / RD-16</t>
  </si>
  <si>
    <t>Стор. 4, F-120: F-120 повторює перехід через Overall Rating із F-10 і таблицю моделей із F-70.</t>
  </si>
  <si>
    <t>F-120 повторює перехід із F-10 та таблицю загального рейтингу з F-70. Дубль вилучено, а номер F-120 залишено невикористаним; у журналі наведено повний вилучений текст.</t>
  </si>
  <si>
    <t>ТА-11 / RD-17</t>
  </si>
  <si>
    <t>Стор. 3, F-100: «Користувач може віддати лише один голос за кожну модель (правило BL-35)»</t>
  </si>
  <si>
    <t>У F-100 була пряма вказівка на відсутню BL-35. Посилання замінено на BL-30; решту тексту F-100 збережено, тому правило одного голосу не змінило змісту.</t>
  </si>
  <si>
    <t>ТА-12 / RD-18</t>
  </si>
  <si>
    <t>Стор. 4, F-110: «перевіряє достовірність указаних адреси, телефону та віку за державними реєстрами»</t>
  </si>
  <si>
    <t>F-110 вимагала автоматичних перевірок у державних реєстрах без заданих інтеграцій. Прийняті локальні правила: вік 0–120, телефон із «+» і 10–15 цифрами, адреса до 200 символів та помилка біля поля.</t>
  </si>
  <si>
    <t>ТА-13 / RD-21</t>
  </si>
  <si>
    <t>Стор. 5, P-10: «не довше ніж за 50 мс за будь-якого з’єднання, включно з мобільним 2G»</t>
  </si>
  <si>
    <t>P-10 поєднувала 50 мс, довільну мережу та довільний каталог. Прийнято 30 вимірювань, p95 ≤3 с, Chrome, 10 Мбіт/с, RTT 100 мс і до 1000 моделей. Умови додані до розділів 2.2–2.3.</t>
  </si>
  <si>
    <t>ТА-14 / RD-23</t>
  </si>
  <si>
    <t>Стор. 6, P-20: Система має працювати швидко і без затримок під час голосування та перегляду сторінок моделей.</t>
  </si>
  <si>
    <t>P-20 містила тільки слово «швидко». Визначено відлік від дії до повного результату, одного активного користувача і 30 замірів для кожної операції: p95 ≤2,5 с для моделі та ≤2 с для голосу.</t>
  </si>
  <si>
    <t>ТА-15 / RD-24</t>
  </si>
  <si>
    <t>Стор. 6, U-10: Інтерфейс має бути інтуїтивно зрозумілим для будь-якого користувача.</t>
  </si>
  <si>
    <t>U-10 обіцяла зрозумілість будь-якому користувачеві без критерію. Встановлено сценарій пошуку моделі й способу голосування, 5 новачків, поріг 4 успішних учасників і ліміт 3 хвилини.</t>
  </si>
  <si>
    <t>ТА-16 / RD-25</t>
  </si>
  <si>
    <t>Стор. 6, S-10: Система має унеможливити будь-які спроби несанкціонованого доступу до облікових записів, включно з підбором пароля.</t>
  </si>
  <si>
    <t>S-10 містила неперевірювану абсолютну гарантію. Її замінено відмовою гостю в доступі до Profile і голосування та правилом 5 помилок за 15 хвилин із блокуванням логіна на 15 хвилин.</t>
  </si>
  <si>
    <t>Запис / RD — Кінаш Єгор</t>
  </si>
  <si>
    <t>ІТ-01 / RD-01</t>
  </si>
  <si>
    <t>Для двох моделей з однаковою кількістю голосів SRS 1.0 не дає єдиного очікуваного переможця. Після правки однакова фікстура завжди обирає першу назву за алфавітом без урахування регістру.</t>
  </si>
  <si>
    <t>ІТ-02 / RD-02</t>
  </si>
  <si>
    <t>Границі для перевірки F-30 — 7, 8, 64 і 65 символів. Окремі негативні набори: без латинської літери та без цифри. Після правки для кожного набору визначено прийняття або відмову.</t>
  </si>
  <si>
    <t>ІТ-03 / RD-04</t>
  </si>
  <si>
    <t>Стор. 5, BL-80: «окреме слово зі стоп-списку»</t>
  </si>
  <si>
    <t>Для стоп-слова spam контрольні приклади мають різні результати: «SPAM!» відхиляється, «spammer» дозволено. Редакція BL-80 фіксує ці результати через збіг цілого слова з літер Unicode без урахування регістру.</t>
  </si>
  <si>
    <t>ІТ-04 / RD-05</t>
  </si>
  <si>
    <t>Негативні набори для F-40 — неіснуючий логін і правильний логін з неправильним паролем. Обидва залишають користувача гостем на тій самій сторінці з однаковим повідомленням помилки.</t>
  </si>
  <si>
    <t>ІТ-05 / RD-06</t>
  </si>
  <si>
    <t>Фікстура з 0 моделей не мала визначеного очікуваного UI. У редакції 1.1 перевіряються повідомлення «No models found» і відсутність обох кнопок переходу; порожня сторінка не рахується як сторінка моделей.</t>
  </si>
  <si>
    <t>ІТ-06 / RD-07</t>
  </si>
  <si>
    <t>Стор. 5, BL-70: «за рейтингом за спаданням»; вторинний ключ для рівних рейтингів відсутній.</t>
  </si>
  <si>
    <t>Для BL-70 два CarModel з однаковим rating могли повертатися в довільному порядку. Вторинний ключ тепер складається з марки й назви моделі без урахування регістру; вихідний список залишається незмінним.</t>
  </si>
  <si>
    <t>ІТ-07 / RD-09</t>
  </si>
  <si>
    <t>Контрольний приклад: модель із більшою кількістю голосів, але нижчим рейтингом не повинна отримати ранг 1. F-60 тепер узгоджується з BL-10/BL-20; кількість голосів залишається критерієм популярності F-10.</t>
  </si>
  <si>
    <t>ІТ-08 / RD-10</t>
  </si>
  <si>
    <t>Стор. 5, BL-50: BL-50: «порожній коментар (або null ) дозволено»; F-90: коментар обов’язковий.</t>
  </si>
  <si>
    <t>Фікстури null, порожнього рядка та пробілів для коментаря тепер повертають «порожній коментар». Довжина 200 дозволена, 201 повертає «коментар задовгий». Це узгоджує результати валідатора з формою F-90.</t>
  </si>
  <si>
    <t>ІТ-09 / RD-11</t>
  </si>
  <si>
    <t>На 2 голосах модель не ранжується, на 3 і 4 — ранжується. Такі границі тепер однакові для F-130 та RatingAggregator.topN, тому перевірки UI і модуля більше не мають різних порогів.</t>
  </si>
  <si>
    <t>ІТ-10 / RD-16</t>
  </si>
  <si>
    <t>Після вилучення F-120 перевірки відкриття списку посилаються на F-10, а його вмісту — на F-70. Покриття сценарію збережене; прив’язка одного правила до двох дублікатів більше не потрібна.</t>
  </si>
  <si>
    <t>ІТ-11 / RD-17</t>
  </si>
  <si>
    <t>Для двох голосів з однаковою парою userId/modelId F-100 тепер веде до реалізованого контракту BL-30: другий голос відхиляється з повідомленням «повторний голос».</t>
  </si>
  <si>
    <t>ІТ-12 / RD-18</t>
  </si>
  <si>
    <t>Для профілю тепер можна підготувати відтворювані набори: вік −1/0/120/121, телефон із 9/10/15/16 цифрами та адресу 200/201 символ. Доступ до державних реєстрів для цих перевірок не потрібний.</t>
  </si>
  <si>
    <t>ІТ-13 / RD-19</t>
  </si>
  <si>
    <t>Стор. 5, BL-60: «розпізнавати запити з друкарськими помилками, транслітерацією та будь-якою мовою світу»</t>
  </si>
  <si>
    <t>BL-60 тепер має визначений контракт: префікс марки або моделі без регістру, збереження вхідного порядку, порожній результат для порожнього, пробільного або null-запиту. Семантичне розпізнавання вилучено.</t>
  </si>
  <si>
    <t>ІТ-14 / RD-20</t>
  </si>
  <si>
    <t>Стор. 5, BL-80: «Модуль загалом має працювати без помилок за будь-яких вхідних даних».</t>
  </si>
  <si>
    <t>Абсолютну обіцянку відсутності помилок замінено контрактами: null-колекція дає IllegalArgumentException, помилки голосу — повідомлення валідатора, null-запит пошуку — порожній список. Виняток і бізнес-відмову розмежовано.</t>
  </si>
  <si>
    <t>Запис / RD — Рушай Євген</t>
  </si>
  <si>
    <t>СМ-01 / RD-03</t>
  </si>
  <si>
    <t>Стор. 4, GUI-20: «доки форму не заповнено належним чином»</t>
  </si>
  <si>
    <t>Фраза GUI-20 «належним чином» не визначає умови активності Register. У виправленні перелічено заповнення обов’язкових полів, збіг паролів і виконання F-30; неповний набір умов залишає кнопку неактивною.</t>
  </si>
  <si>
    <t>СМ-02 / RD-04</t>
  </si>
  <si>
    <t>У BL-80 не було визначення меж слова. Тепер літери Unicode утворюють слово, а решта символів розділяє слова. Приклади з пунктуацією та частиною довшого слова включені без зміни переліку стоп-слів.</t>
  </si>
  <si>
    <t>СМ-03 / RD-07</t>
  </si>
  <si>
    <t>Сортування BL-70 у джерелі описувало тільки спадання рейтингу. Правило рівних значень доповнено повною назвою за алфавітом, що узгоджує його з уже наявною BL-20.</t>
  </si>
  <si>
    <t>СМ-04 / RD-10</t>
  </si>
  <si>
    <t>BL-50 прямо дозволяла порожній коментар і null, на відміну від F-90. Виправлена вимога робить коментар обов’язковим для вебформи й модуля та зберігає межу довжини 200 символів.</t>
  </si>
  <si>
    <t>СМ-05 / RD-12</t>
  </si>
  <si>
    <t>Стор. 4, GUI-60: GUI-60: «по 10 рядків»; F-140: «по 5 рядків».</t>
  </si>
  <si>
    <t>GUI-60 визначала 10 рядків, хоча F-140 вимагала 5. У GUI-60 змінено лише розмір сторінки на 5; положення навігації та написи збережені.</t>
  </si>
  <si>
    <t>СМ-06 / RD-14</t>
  </si>
  <si>
    <t>Стор. 4, GUI-40 (2-й): Два GUI-40: правило обов’язкових полів реєстрації та правило елементів профілю.</t>
  </si>
  <si>
    <t>Перший GUI-40 описує обов’язкові поля реєстрації, другий — елементи профілю. Профіль отримав GUI-45 із дослівно збереженим текстом; GUI-40 та інші номери не змінені.</t>
  </si>
  <si>
    <t>СМ-07 / RD-19</t>
  </si>
  <si>
    <t>У BL-60 обіцялося розпізнавання будь-яких описок, мов і наміру користувача. Обсяг звужено до перевірюваного префіксного пошуку; вимогу гарантувати довільний намір у редакції 1.1 відсутньо.</t>
  </si>
  <si>
    <t>СМ-08 / RD-20</t>
  </si>
  <si>
    <t>BL-80 більше не суперечить BL-10 та вступу розділу 5, де вже передбачено IllegalArgumentException. Некоректні дані обробляються за визначеними правилами відповідного методу.</t>
  </si>
  <si>
    <t>СМ-09 / RD-22</t>
  </si>
  <si>
    <t>Стор. 4, GUI-70: Форма профілю має бути зручною для заповнення і не викликати труднощів у користувача.</t>
  </si>
  <si>
    <t>GUI-70 не мала спостережуваного критерію зручності. Тепер визначені видимі підписи, помилки біля полів, збереження з клавіатури та результат щонайменше 4 із 5 учасників за 3 хвилини.</t>
  </si>
  <si>
    <t>Запис / RD — Дарина Поломарьова</t>
  </si>
  <si>
    <t>КТ-01 / RD-03</t>
  </si>
  <si>
    <t>Умова приймання GUI-20 тепер збігається з F-30: Register доступна лише після всіх перевірок форми. Для порожнього поля, різних паролів і порушення складності очікується неактивна кнопка.</t>
  </si>
  <si>
    <t>КТ-02 / RD-08</t>
  </si>
  <si>
    <t>Для приймання D-10 тепер достатньо перевірити наявність п’яти названих розділів, назв екранів і кнопок, кроків та результату. Посилання на ненаданий зовнішній стандарт вилучене.</t>
  </si>
  <si>
    <t>КТ-03 / RD-12</t>
  </si>
  <si>
    <t>Прийнята місткість сторінки — 5 моделей. Вибірка з 5 моделей має одну сторінку, з 6 — дві; вимоги GUI-60 і F-140 тепер дають однакові очікувані результати.</t>
  </si>
  <si>
    <t>КТ-04 / RD-13</t>
  </si>
  <si>
    <t>Для S-20 прийнято таймер бездіяльності на 30 хвилин із перезапуском після активних дій. Після тайм-ауту профіль і голосування потребують нового входу; Logout завершує сеанс одразу.</t>
  </si>
  <si>
    <t>КТ-05 / RD-14</t>
  </si>
  <si>
    <t>Для кожного правила форми тепер існує окремий ID. Посилання на обов’язковість реєстрації веде до GUI-40, на випадні списки й Save у профілі — до GUI-45; дубль усунуто без перенумерації.</t>
  </si>
  <si>
    <t>КТ-06 / RD-15</t>
  </si>
  <si>
    <t>Правило зберігання й передавання пароля тепер простежується за S-15 із реєстру до специфікації та майбутніх кейсів. Ідентифікатори S-10 і S-20 залишилися без змін.</t>
  </si>
  <si>
    <t>КТ-07 / RD-21</t>
  </si>
  <si>
    <t>Критерій приймання P-10 застосовується тільки до контрольованого середовища з названими параметрами. Вимір довільного публічного з’єднання не підмінює цей критерій; навантаження на спільний demo не планується.</t>
  </si>
  <si>
    <t>КТ-08 / RD-22</t>
  </si>
  <si>
    <t>Однакове завдання для приймання GUI-70 — змінити телефон і зберегти профіль без допомоги. Критерій проходження: не менше 4 із 5 нових користувачів вкладаються в 3 хвилини.</t>
  </si>
  <si>
    <t>КТ-09 / RD-23</t>
  </si>
  <si>
    <t>Показники відкриття моделі й підтвердження голосу тепер вимірюються окремо на контрольованому стенді. Кожна операція має власний поріг і вибірку із 30 вимірювань; результати між операціями не змішуються.</t>
  </si>
  <si>
    <t>КТ-10 / RD-24</t>
  </si>
  <si>
    <t>Для приймання U-10 спостерігач фіксує результат однакового завдання без інструктажу. Успіх — щонайменше 4 з 5 учасників знаходять модель, відкривають картку та визначають спосіб голосування за 3 хвилини.</t>
  </si>
  <si>
    <t>КТ-11 / RD-25</t>
  </si>
  <si>
    <t>Прийняті критерії S-10 визначають конкретні стани: гість не змінює дані, прямий URL профілю потребує сеансу, після порогу помилок вхід тимчасово блокується. Активні перевірки виконуються на окремому стенді.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</si>
</sst>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</cellStyleXfs>
  <cellXfs count="9">
    <xf numFmtId="0" fontId="0" fillId="0" borderId="0" xfId="0"/>
    <xf numFmtId="0" fontId="0" fillId="0" borderId="0" xfId="1" applyFont="1" applyAlignment="1">
      <alignment vertical="top" wrapText="1"/>
    </xf>
    <xf numFmtId="0" fontId="2" fillId="2" borderId="2" xfId="1" applyFill="1" applyBorder="1" applyAlignment="1">
      <alignment vertical="top" wrapText="1"/>
    </xf>
    <xf numFmtId="0" fontId="2" fillId="2" borderId="0" xfId="0" applyFont="1" applyFill="1"/>
    <xf numFmtId="0" fontId="0" fillId="0" borderId="2" xfId="0" applyBorder="1"/>
    <xf numFmtId="0" fontId="0" fillId="0" borderId="1" xfId="3" applyFont="1" applyAlignment="1">
      <alignment vertical="top" wrapText="1"/>
    </xf>
    <xf numFmtId="0" fontId="1" fillId="3" borderId="0" xfId="1" applyFont="1" applyFill="1" applyAlignment="1">
      <alignment vertical="center" wrapText="1"/>
    </xf>
    <xf numFmtId="14" fontId="0" fillId="0" borderId="0" xfId="1" applyNumberFormat="1" applyFont="1" applyAlignment="1">
      <alignment horizontal="center" vertical="center" wrapText="1"/>
    </xf>
    <xf numFmtId="0" fontId="1" fillId="3" borderId="2" xfId="1" applyFont="1" applyFill="1" applyBorder="1" applyAlignment="1">
      <alignment vertical="center" wrapText="1"/>
    </xf>
  </cellXfs>
  <cellStyles count="8">
    <cellStyle name="Normal" xfId="1" xr:uid="{00000000-0005-0000-0000-000000000000}"/>
    <cellStyle name="Normal 2" xfId="3" xr:uid="{00000000-0005-0000-0000-000001000000}"/>
    <cellStyle name="Обычный" xfId="0" builtinId="0"/>
    <cellStyle name="Обычный 2" xfId="2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5" xfId="6" xr:uid="{00000000-0005-0000-0000-000006000000}"/>
    <cellStyle name="Обычный 6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topLeftCell="D1" workbookViewId="0">
      <pane ySplit="1" topLeftCell="A2" activePane="bottomLeft" state="frozen"/>
      <selection pane="bottomLeft" activeCell="F15" sqref="F15"/>
    </sheetView>
  </sheetViews>
  <sheetFormatPr defaultRowHeight="14.25"/>
  <cols>
    <col min="1" max="1" width="6" customWidth="1"/>
    <col min="2" max="2" width="18" customWidth="1"/>
    <col min="3" max="3" width="21" customWidth="1"/>
    <col min="4" max="4" width="24" customWidth="1"/>
    <col min="5" max="5" width="63" customWidth="1"/>
    <col min="6" max="6" width="66" customWidth="1"/>
    <col min="7" max="7" width="27" customWidth="1"/>
    <col min="8" max="8" width="19" customWidth="1"/>
    <col min="9" max="9" width="15" customWidth="1"/>
  </cols>
  <sheetData>
    <row r="1" spans="1:9" ht="30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150</v>
      </c>
      <c r="H1" s="8" t="s">
        <v>6</v>
      </c>
      <c r="I1" s="8" t="s">
        <v>7</v>
      </c>
    </row>
    <row r="2" spans="1:9" ht="78" customHeight="1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151</v>
      </c>
      <c r="G2" s="2" t="s">
        <v>152</v>
      </c>
      <c r="H2" s="2" t="s">
        <v>153</v>
      </c>
      <c r="I2" s="2" t="s">
        <v>13</v>
      </c>
    </row>
    <row r="3" spans="1:9" ht="78" customHeight="1">
      <c r="A3" s="2">
        <v>2</v>
      </c>
      <c r="B3" s="2" t="s">
        <v>14</v>
      </c>
      <c r="C3" s="2" t="s">
        <v>9</v>
      </c>
      <c r="D3" s="2" t="s">
        <v>15</v>
      </c>
      <c r="E3" s="2" t="s">
        <v>16</v>
      </c>
      <c r="F3" s="2" t="s">
        <v>154</v>
      </c>
      <c r="G3" s="2" t="s">
        <v>152</v>
      </c>
      <c r="H3" s="2" t="s">
        <v>153</v>
      </c>
      <c r="I3" s="2" t="s">
        <v>18</v>
      </c>
    </row>
    <row r="4" spans="1:9" ht="78" customHeight="1">
      <c r="A4" s="2">
        <v>3</v>
      </c>
      <c r="B4" s="2" t="s">
        <v>19</v>
      </c>
      <c r="C4" s="2" t="s">
        <v>9</v>
      </c>
      <c r="D4" s="2" t="s">
        <v>10</v>
      </c>
      <c r="E4" s="2" t="s">
        <v>20</v>
      </c>
      <c r="F4" s="2" t="s">
        <v>155</v>
      </c>
      <c r="G4" s="2" t="s">
        <v>156</v>
      </c>
      <c r="H4" s="2" t="s">
        <v>153</v>
      </c>
      <c r="I4" s="2" t="s">
        <v>22</v>
      </c>
    </row>
    <row r="5" spans="1:9" ht="78" customHeight="1">
      <c r="A5" s="2">
        <v>4</v>
      </c>
      <c r="B5" s="2" t="s">
        <v>23</v>
      </c>
      <c r="C5" s="2" t="s">
        <v>9</v>
      </c>
      <c r="D5" s="2" t="s">
        <v>24</v>
      </c>
      <c r="E5" s="2" t="s">
        <v>25</v>
      </c>
      <c r="F5" s="2" t="s">
        <v>157</v>
      </c>
      <c r="G5" s="2" t="s">
        <v>158</v>
      </c>
      <c r="H5" s="2" t="s">
        <v>153</v>
      </c>
      <c r="I5" s="2" t="s">
        <v>27</v>
      </c>
    </row>
    <row r="6" spans="1:9" ht="78" customHeight="1">
      <c r="A6" s="2">
        <v>5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159</v>
      </c>
      <c r="G6" s="2" t="s">
        <v>152</v>
      </c>
      <c r="H6" s="2" t="s">
        <v>153</v>
      </c>
      <c r="I6" s="2" t="s">
        <v>32</v>
      </c>
    </row>
    <row r="7" spans="1:9" ht="78" customHeight="1">
      <c r="A7" s="2">
        <v>6</v>
      </c>
      <c r="B7" s="2" t="s">
        <v>33</v>
      </c>
      <c r="C7" s="2" t="s">
        <v>29</v>
      </c>
      <c r="D7" s="2" t="s">
        <v>30</v>
      </c>
      <c r="E7" s="2" t="s">
        <v>34</v>
      </c>
      <c r="F7" s="2" t="s">
        <v>160</v>
      </c>
      <c r="G7" s="2" t="s">
        <v>152</v>
      </c>
      <c r="H7" s="2" t="s">
        <v>153</v>
      </c>
      <c r="I7" s="2" t="s">
        <v>35</v>
      </c>
    </row>
    <row r="8" spans="1:9" ht="78" customHeight="1">
      <c r="A8" s="2">
        <v>7</v>
      </c>
      <c r="B8" s="2" t="s">
        <v>36</v>
      </c>
      <c r="C8" s="2" t="s">
        <v>29</v>
      </c>
      <c r="D8" s="2" t="s">
        <v>10</v>
      </c>
      <c r="E8" s="2" t="s">
        <v>37</v>
      </c>
      <c r="F8" s="2" t="s">
        <v>161</v>
      </c>
      <c r="G8" s="2" t="s">
        <v>158</v>
      </c>
      <c r="H8" s="2" t="s">
        <v>153</v>
      </c>
      <c r="I8" s="2" t="s">
        <v>38</v>
      </c>
    </row>
    <row r="9" spans="1:9" ht="78" customHeight="1">
      <c r="A9" s="2">
        <v>8</v>
      </c>
      <c r="B9" s="2" t="s">
        <v>39</v>
      </c>
      <c r="C9" s="2" t="s">
        <v>29</v>
      </c>
      <c r="D9" s="2" t="s">
        <v>40</v>
      </c>
      <c r="E9" s="2" t="s">
        <v>41</v>
      </c>
      <c r="F9" s="2" t="s">
        <v>162</v>
      </c>
      <c r="G9" s="2" t="s">
        <v>163</v>
      </c>
      <c r="H9" s="2" t="s">
        <v>153</v>
      </c>
      <c r="I9" s="2" t="s">
        <v>42</v>
      </c>
    </row>
    <row r="10" spans="1:9" ht="78" customHeight="1">
      <c r="A10" s="2">
        <v>9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164</v>
      </c>
      <c r="G10" s="2" t="s">
        <v>152</v>
      </c>
      <c r="H10" s="2" t="s">
        <v>153</v>
      </c>
      <c r="I10" s="2" t="s">
        <v>47</v>
      </c>
    </row>
    <row r="11" spans="1:9" ht="78" customHeight="1">
      <c r="A11" s="2">
        <v>10</v>
      </c>
      <c r="B11" s="2" t="s">
        <v>48</v>
      </c>
      <c r="C11" s="2" t="s">
        <v>44</v>
      </c>
      <c r="D11" s="2" t="s">
        <v>45</v>
      </c>
      <c r="E11" s="2" t="s">
        <v>49</v>
      </c>
      <c r="F11" s="2" t="s">
        <v>165</v>
      </c>
      <c r="G11" s="2" t="s">
        <v>158</v>
      </c>
      <c r="H11" s="2" t="s">
        <v>153</v>
      </c>
      <c r="I11" s="2" t="s">
        <v>50</v>
      </c>
    </row>
    <row r="12" spans="1:9" ht="78" customHeight="1">
      <c r="A12" s="2">
        <v>11</v>
      </c>
      <c r="B12" s="2" t="s">
        <v>51</v>
      </c>
      <c r="C12" s="2" t="s">
        <v>44</v>
      </c>
      <c r="D12" s="2" t="s">
        <v>45</v>
      </c>
      <c r="E12" s="2" t="s">
        <v>52</v>
      </c>
      <c r="F12" s="2" t="s">
        <v>166</v>
      </c>
      <c r="G12" s="2" t="s">
        <v>152</v>
      </c>
      <c r="H12" s="2" t="s">
        <v>153</v>
      </c>
      <c r="I12" s="2" t="s">
        <v>53</v>
      </c>
    </row>
    <row r="13" spans="1:9" ht="78" customHeight="1">
      <c r="A13" s="2">
        <v>12</v>
      </c>
      <c r="B13" s="2" t="s">
        <v>54</v>
      </c>
      <c r="C13" s="2" t="s">
        <v>44</v>
      </c>
      <c r="D13" s="2" t="s">
        <v>45</v>
      </c>
      <c r="E13" s="2" t="s">
        <v>55</v>
      </c>
      <c r="F13" s="2" t="s">
        <v>167</v>
      </c>
      <c r="G13" s="2" t="s">
        <v>156</v>
      </c>
      <c r="H13" s="2" t="s">
        <v>153</v>
      </c>
      <c r="I13" s="2" t="s">
        <v>56</v>
      </c>
    </row>
    <row r="14" spans="1:9" ht="78" customHeight="1">
      <c r="A14" s="2">
        <v>13</v>
      </c>
      <c r="B14" s="2" t="s">
        <v>57</v>
      </c>
      <c r="C14" s="2" t="s">
        <v>44</v>
      </c>
      <c r="D14" s="2" t="s">
        <v>58</v>
      </c>
      <c r="E14" s="2" t="s">
        <v>59</v>
      </c>
      <c r="F14" s="2" t="s">
        <v>168</v>
      </c>
      <c r="G14" s="2" t="s">
        <v>163</v>
      </c>
      <c r="H14" s="2" t="s">
        <v>153</v>
      </c>
      <c r="I14" s="2" t="s">
        <v>60</v>
      </c>
    </row>
    <row r="15" spans="1:9" ht="78" customHeight="1">
      <c r="A15" s="2">
        <v>14</v>
      </c>
      <c r="B15" s="2" t="s">
        <v>61</v>
      </c>
      <c r="C15" s="2" t="s">
        <v>62</v>
      </c>
      <c r="D15" s="2" t="s">
        <v>63</v>
      </c>
      <c r="E15" s="2" t="s">
        <v>64</v>
      </c>
      <c r="F15" s="2" t="s">
        <v>169</v>
      </c>
      <c r="G15" s="2" t="s">
        <v>156</v>
      </c>
      <c r="H15" s="2" t="s">
        <v>153</v>
      </c>
      <c r="I15" s="2" t="s">
        <v>65</v>
      </c>
    </row>
    <row r="16" spans="1:9" ht="78" customHeight="1">
      <c r="A16" s="2">
        <v>15</v>
      </c>
      <c r="B16" s="2" t="s">
        <v>66</v>
      </c>
      <c r="C16" s="2" t="s">
        <v>62</v>
      </c>
      <c r="D16" s="2" t="s">
        <v>45</v>
      </c>
      <c r="E16" s="2" t="s">
        <v>67</v>
      </c>
      <c r="F16" s="2" t="s">
        <v>170</v>
      </c>
      <c r="G16" s="2" t="s">
        <v>163</v>
      </c>
      <c r="H16" s="2" t="s">
        <v>153</v>
      </c>
      <c r="I16" s="2" t="s">
        <v>68</v>
      </c>
    </row>
    <row r="17" spans="1:9" ht="78" customHeight="1">
      <c r="A17" s="2">
        <v>16</v>
      </c>
      <c r="B17" s="2" t="s">
        <v>69</v>
      </c>
      <c r="C17" s="2" t="s">
        <v>62</v>
      </c>
      <c r="D17" s="2" t="s">
        <v>70</v>
      </c>
      <c r="E17" s="2" t="s">
        <v>71</v>
      </c>
      <c r="F17" s="2" t="s">
        <v>171</v>
      </c>
      <c r="G17" s="2" t="s">
        <v>152</v>
      </c>
      <c r="H17" s="2" t="s">
        <v>153</v>
      </c>
      <c r="I17" s="2" t="s">
        <v>72</v>
      </c>
    </row>
    <row r="18" spans="1:9" ht="78" customHeight="1">
      <c r="A18" s="2">
        <v>17</v>
      </c>
      <c r="B18" s="2" t="s">
        <v>73</v>
      </c>
      <c r="C18" s="2" t="s">
        <v>62</v>
      </c>
      <c r="D18" s="2" t="s">
        <v>63</v>
      </c>
      <c r="E18" s="2" t="s">
        <v>74</v>
      </c>
      <c r="F18" s="2" t="s">
        <v>172</v>
      </c>
      <c r="G18" s="2" t="s">
        <v>152</v>
      </c>
      <c r="H18" s="2" t="s">
        <v>153</v>
      </c>
      <c r="I18" s="2" t="s">
        <v>75</v>
      </c>
    </row>
    <row r="19" spans="1:9" ht="78" customHeight="1">
      <c r="A19" s="2">
        <v>18</v>
      </c>
      <c r="B19" s="2" t="s">
        <v>76</v>
      </c>
      <c r="C19" s="2" t="s">
        <v>77</v>
      </c>
      <c r="D19" s="2" t="s">
        <v>58</v>
      </c>
      <c r="E19" s="2" t="s">
        <v>78</v>
      </c>
      <c r="F19" s="2" t="s">
        <v>173</v>
      </c>
      <c r="G19" s="2" t="s">
        <v>152</v>
      </c>
      <c r="H19" s="2" t="s">
        <v>153</v>
      </c>
      <c r="I19" s="2" t="s">
        <v>79</v>
      </c>
    </row>
    <row r="20" spans="1:9" ht="78" customHeight="1">
      <c r="A20" s="2">
        <v>19</v>
      </c>
      <c r="B20" s="2" t="s">
        <v>80</v>
      </c>
      <c r="C20" s="2" t="s">
        <v>77</v>
      </c>
      <c r="D20" s="2" t="s">
        <v>58</v>
      </c>
      <c r="E20" s="2" t="s">
        <v>81</v>
      </c>
      <c r="F20" s="2" t="s">
        <v>174</v>
      </c>
      <c r="G20" s="2" t="s">
        <v>158</v>
      </c>
      <c r="H20" s="2" t="s">
        <v>153</v>
      </c>
      <c r="I20" s="2" t="s">
        <v>82</v>
      </c>
    </row>
    <row r="21" spans="1:9" ht="78" customHeight="1">
      <c r="A21" s="2">
        <v>20</v>
      </c>
      <c r="B21" s="2" t="s">
        <v>23</v>
      </c>
      <c r="C21" s="2" t="s">
        <v>77</v>
      </c>
      <c r="D21" s="2" t="s">
        <v>58</v>
      </c>
      <c r="E21" s="2" t="s">
        <v>83</v>
      </c>
      <c r="F21" s="2" t="s">
        <v>175</v>
      </c>
      <c r="G21" s="2" t="s">
        <v>158</v>
      </c>
      <c r="H21" s="2" t="s">
        <v>153</v>
      </c>
      <c r="I21" s="2" t="s">
        <v>84</v>
      </c>
    </row>
    <row r="22" spans="1:9" ht="78" customHeight="1">
      <c r="A22" s="2">
        <v>21</v>
      </c>
      <c r="B22" s="2" t="s">
        <v>85</v>
      </c>
      <c r="C22" s="2" t="s">
        <v>77</v>
      </c>
      <c r="D22" s="2" t="s">
        <v>58</v>
      </c>
      <c r="E22" s="2" t="s">
        <v>86</v>
      </c>
      <c r="F22" s="2" t="s">
        <v>176</v>
      </c>
      <c r="G22" s="2" t="s">
        <v>163</v>
      </c>
      <c r="H22" s="2" t="s">
        <v>153</v>
      </c>
      <c r="I22" s="2" t="s">
        <v>87</v>
      </c>
    </row>
    <row r="23" spans="1:9" ht="78" customHeight="1">
      <c r="A23" s="2">
        <v>22</v>
      </c>
      <c r="B23" s="2" t="s">
        <v>88</v>
      </c>
      <c r="C23" s="2" t="s">
        <v>89</v>
      </c>
      <c r="D23" s="2" t="s">
        <v>90</v>
      </c>
      <c r="E23" s="2" t="s">
        <v>91</v>
      </c>
      <c r="F23" s="2" t="s">
        <v>177</v>
      </c>
      <c r="G23" s="2" t="s">
        <v>156</v>
      </c>
      <c r="H23" s="2" t="s">
        <v>153</v>
      </c>
      <c r="I23" s="2" t="s">
        <v>92</v>
      </c>
    </row>
    <row r="24" spans="1:9" ht="78" customHeight="1">
      <c r="A24" s="2">
        <v>23</v>
      </c>
      <c r="B24" s="2" t="s">
        <v>93</v>
      </c>
      <c r="C24" s="2" t="s">
        <v>89</v>
      </c>
      <c r="D24" s="2" t="s">
        <v>90</v>
      </c>
      <c r="E24" s="2" t="s">
        <v>94</v>
      </c>
      <c r="F24" s="2" t="s">
        <v>178</v>
      </c>
      <c r="G24" s="2" t="s">
        <v>163</v>
      </c>
      <c r="H24" s="2" t="s">
        <v>153</v>
      </c>
      <c r="I24" s="2" t="s">
        <v>95</v>
      </c>
    </row>
    <row r="25" spans="1:9" ht="78" customHeight="1">
      <c r="A25" s="2">
        <v>24</v>
      </c>
      <c r="B25" s="2" t="s">
        <v>96</v>
      </c>
      <c r="C25" s="2" t="s">
        <v>89</v>
      </c>
      <c r="D25" s="2" t="s">
        <v>90</v>
      </c>
      <c r="E25" s="2" t="s">
        <v>97</v>
      </c>
      <c r="F25" s="2" t="s">
        <v>179</v>
      </c>
      <c r="G25" s="2" t="s">
        <v>163</v>
      </c>
      <c r="H25" s="2" t="s">
        <v>153</v>
      </c>
      <c r="I25" s="2" t="s">
        <v>98</v>
      </c>
    </row>
    <row r="26" spans="1:9" ht="85.5" customHeight="1">
      <c r="A26" s="2">
        <v>25</v>
      </c>
      <c r="B26" s="2" t="s">
        <v>99</v>
      </c>
      <c r="C26" s="2" t="s">
        <v>89</v>
      </c>
      <c r="D26" s="2" t="s">
        <v>90</v>
      </c>
      <c r="E26" s="2" t="s">
        <v>100</v>
      </c>
      <c r="F26" s="2" t="s">
        <v>180</v>
      </c>
      <c r="G26" s="2" t="s">
        <v>163</v>
      </c>
      <c r="H26" s="2" t="s">
        <v>153</v>
      </c>
      <c r="I26" s="2" t="s">
        <v>101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pane ySplit="1" topLeftCell="A2" activePane="bottomLeft" state="frozen"/>
      <selection pane="bottomLeft" sqref="A1:D1"/>
    </sheetView>
  </sheetViews>
  <sheetFormatPr defaultRowHeight="14.25"/>
  <cols>
    <col min="1" max="1" width="35" style="3" customWidth="1"/>
    <col min="2" max="3" width="30" style="3" customWidth="1"/>
    <col min="4" max="4" width="64" style="3" customWidth="1"/>
    <col min="5" max="16384" width="9" style="3"/>
  </cols>
  <sheetData>
    <row r="1" spans="1:4" ht="30" customHeight="1">
      <c r="A1" s="8" t="s">
        <v>102</v>
      </c>
      <c r="B1" s="8" t="s">
        <v>103</v>
      </c>
      <c r="C1" s="8" t="s">
        <v>104</v>
      </c>
      <c r="D1" s="8" t="s">
        <v>105</v>
      </c>
    </row>
    <row r="2" spans="1:4" ht="39.950000000000003" customHeight="1">
      <c r="A2" s="2" t="s">
        <v>106</v>
      </c>
      <c r="B2" s="2" t="s">
        <v>21</v>
      </c>
      <c r="C2" s="2" t="s">
        <v>26</v>
      </c>
      <c r="D2" s="2" t="s">
        <v>107</v>
      </c>
    </row>
    <row r="3" spans="1:4" ht="39.950000000000003" customHeight="1">
      <c r="A3" s="2" t="s">
        <v>108</v>
      </c>
      <c r="B3" s="2" t="s">
        <v>17</v>
      </c>
      <c r="C3" s="2" t="s">
        <v>26</v>
      </c>
      <c r="D3" s="2" t="s">
        <v>109</v>
      </c>
    </row>
    <row r="4" spans="1:4" ht="39.950000000000003" customHeight="1">
      <c r="A4" s="2" t="s">
        <v>110</v>
      </c>
      <c r="B4" s="2" t="s">
        <v>12</v>
      </c>
      <c r="C4" s="2" t="s">
        <v>17</v>
      </c>
      <c r="D4" s="2" t="s">
        <v>111</v>
      </c>
    </row>
    <row r="5" spans="1:4" ht="39.950000000000003" customHeight="1">
      <c r="A5" s="2" t="s">
        <v>112</v>
      </c>
      <c r="B5" s="2" t="s">
        <v>21</v>
      </c>
      <c r="C5" s="2" t="s">
        <v>26</v>
      </c>
      <c r="D5" s="2" t="s">
        <v>113</v>
      </c>
    </row>
    <row r="6" spans="1:4" ht="39.950000000000003" customHeight="1">
      <c r="A6" s="2" t="s">
        <v>114</v>
      </c>
      <c r="B6" s="2" t="s">
        <v>17</v>
      </c>
      <c r="C6" s="2" t="s">
        <v>21</v>
      </c>
      <c r="D6" s="2" t="s">
        <v>115</v>
      </c>
    </row>
    <row r="7" spans="1:4" ht="39.950000000000003" customHeight="1">
      <c r="A7" s="2" t="s">
        <v>116</v>
      </c>
      <c r="B7" s="2" t="s">
        <v>12</v>
      </c>
      <c r="C7" s="2" t="s">
        <v>26</v>
      </c>
      <c r="D7" s="2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pane ySplit="1" topLeftCell="A2" activePane="bottomLeft" state="frozen"/>
      <selection pane="bottomLeft" sqref="A1:F1"/>
    </sheetView>
  </sheetViews>
  <sheetFormatPr defaultRowHeight="14.25"/>
  <cols>
    <col min="1" max="1" width="10" customWidth="1"/>
    <col min="2" max="2" width="25" customWidth="1"/>
    <col min="3" max="3" width="31" customWidth="1"/>
    <col min="4" max="4" width="60" customWidth="1"/>
    <col min="5" max="5" width="65" customWidth="1"/>
    <col min="6" max="6" width="30" customWidth="1"/>
  </cols>
  <sheetData>
    <row r="1" spans="1:6" ht="30" customHeight="1">
      <c r="A1" s="8" t="s">
        <v>0</v>
      </c>
      <c r="B1" s="8" t="s">
        <v>118</v>
      </c>
      <c r="C1" s="8" t="s">
        <v>119</v>
      </c>
      <c r="D1" s="8" t="s">
        <v>120</v>
      </c>
      <c r="E1" s="8" t="s">
        <v>121</v>
      </c>
      <c r="F1" s="8" t="s">
        <v>6</v>
      </c>
    </row>
    <row r="2" spans="1:6" ht="68.099999999999994" customHeight="1">
      <c r="A2" s="2" t="s">
        <v>122</v>
      </c>
      <c r="B2" s="2" t="s">
        <v>123</v>
      </c>
      <c r="C2" s="2" t="s">
        <v>181</v>
      </c>
      <c r="D2" s="2" t="s">
        <v>124</v>
      </c>
      <c r="E2" s="2" t="s">
        <v>182</v>
      </c>
      <c r="F2" s="2" t="s">
        <v>153</v>
      </c>
    </row>
    <row r="3" spans="1:6" ht="68.099999999999994" customHeight="1">
      <c r="A3" s="2" t="s">
        <v>125</v>
      </c>
      <c r="B3" s="2" t="s">
        <v>126</v>
      </c>
      <c r="C3" s="2" t="s">
        <v>183</v>
      </c>
      <c r="D3" s="2" t="s">
        <v>127</v>
      </c>
      <c r="E3" s="2" t="s">
        <v>184</v>
      </c>
      <c r="F3" s="2" t="s">
        <v>153</v>
      </c>
    </row>
    <row r="4" spans="1:6" ht="68.099999999999994" customHeight="1">
      <c r="A4" s="2" t="s">
        <v>128</v>
      </c>
      <c r="B4" s="2" t="s">
        <v>14</v>
      </c>
      <c r="C4" s="2" t="s">
        <v>185</v>
      </c>
      <c r="D4" s="2" t="s">
        <v>129</v>
      </c>
      <c r="E4" s="2" t="s">
        <v>186</v>
      </c>
      <c r="F4" s="2" t="s">
        <v>153</v>
      </c>
    </row>
    <row r="5" spans="1:6" ht="68.099999999999994" customHeight="1">
      <c r="A5" s="2" t="s">
        <v>130</v>
      </c>
      <c r="B5" s="2" t="s">
        <v>131</v>
      </c>
      <c r="C5" s="2" t="s">
        <v>187</v>
      </c>
      <c r="D5" s="2" t="s">
        <v>132</v>
      </c>
      <c r="E5" s="2" t="s">
        <v>188</v>
      </c>
      <c r="F5" s="2" t="s">
        <v>153</v>
      </c>
    </row>
    <row r="6" spans="1:6" ht="68.099999999999994" customHeight="1">
      <c r="A6" s="2" t="s">
        <v>133</v>
      </c>
      <c r="B6" s="2" t="s">
        <v>134</v>
      </c>
      <c r="C6" s="2" t="s">
        <v>189</v>
      </c>
      <c r="D6" s="2" t="s">
        <v>135</v>
      </c>
      <c r="E6" s="2" t="s">
        <v>190</v>
      </c>
      <c r="F6" s="2" t="s">
        <v>153</v>
      </c>
    </row>
    <row r="7" spans="1:6" ht="68.099999999999994" customHeight="1">
      <c r="A7" s="2" t="s">
        <v>136</v>
      </c>
      <c r="B7" s="2" t="s">
        <v>69</v>
      </c>
      <c r="C7" s="2" t="s">
        <v>191</v>
      </c>
      <c r="D7" s="2" t="s">
        <v>137</v>
      </c>
      <c r="E7" s="2" t="s">
        <v>192</v>
      </c>
      <c r="F7" s="2" t="s">
        <v>153</v>
      </c>
    </row>
    <row r="8" spans="1:6" ht="68.099999999999994" customHeight="1">
      <c r="A8" s="2" t="s">
        <v>138</v>
      </c>
      <c r="B8" s="2" t="s">
        <v>139</v>
      </c>
      <c r="C8" s="2" t="s">
        <v>193</v>
      </c>
      <c r="D8" s="2" t="s">
        <v>140</v>
      </c>
      <c r="E8" s="2" t="s">
        <v>194</v>
      </c>
      <c r="F8" s="2" t="s">
        <v>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workbookViewId="0">
      <pane ySplit="1" topLeftCell="A2" activePane="bottomLeft" state="frozen"/>
      <selection pane="bottomLeft" activeCell="C18" sqref="C18"/>
    </sheetView>
  </sheetViews>
  <sheetFormatPr defaultRowHeight="14.25"/>
  <cols>
    <col min="1" max="1" width="28" customWidth="1"/>
    <col min="2" max="2" width="23" customWidth="1"/>
    <col min="3" max="3" width="17" customWidth="1"/>
    <col min="4" max="4" width="23" customWidth="1"/>
  </cols>
  <sheetData>
    <row r="1" spans="1:4" ht="30" customHeight="1">
      <c r="A1" s="8" t="s">
        <v>2</v>
      </c>
      <c r="B1" s="8" t="s">
        <v>141</v>
      </c>
      <c r="C1" s="8" t="s">
        <v>142</v>
      </c>
      <c r="D1" s="8" t="s">
        <v>143</v>
      </c>
    </row>
    <row r="2" spans="1:4" ht="33.950000000000003" customHeight="1">
      <c r="A2" s="2" t="s">
        <v>9</v>
      </c>
      <c r="B2" s="2">
        <f>COUNTIF(Реєстр!$C$2:$C$26,A2)</f>
        <v>4</v>
      </c>
      <c r="C2" s="2">
        <v>2</v>
      </c>
      <c r="D2" s="2" t="str">
        <f t="shared" ref="D2:D7" si="0">IF(B2&gt;=C2,"OK","Замало")</f>
        <v>OK</v>
      </c>
    </row>
    <row r="3" spans="1:4" ht="33.950000000000003" customHeight="1">
      <c r="A3" s="2" t="s">
        <v>29</v>
      </c>
      <c r="B3" s="2">
        <f>COUNTIF(Реєстр!$C$2:$C$26,A3)</f>
        <v>4</v>
      </c>
      <c r="C3" s="2">
        <v>2</v>
      </c>
      <c r="D3" s="2" t="str">
        <f t="shared" si="0"/>
        <v>OK</v>
      </c>
    </row>
    <row r="4" spans="1:4" ht="33.950000000000003" customHeight="1">
      <c r="A4" s="2" t="s">
        <v>44</v>
      </c>
      <c r="B4" s="2">
        <f>COUNTIF(Реєстр!$C$2:$C$26,A4)</f>
        <v>5</v>
      </c>
      <c r="C4" s="2">
        <v>2</v>
      </c>
      <c r="D4" s="2" t="str">
        <f t="shared" si="0"/>
        <v>OK</v>
      </c>
    </row>
    <row r="5" spans="1:4" ht="33.950000000000003" customHeight="1">
      <c r="A5" s="2" t="s">
        <v>62</v>
      </c>
      <c r="B5" s="2">
        <f>COUNTIF(Реєстр!$C$2:$C$26,A5)</f>
        <v>4</v>
      </c>
      <c r="C5" s="2">
        <v>2</v>
      </c>
      <c r="D5" s="2" t="str">
        <f t="shared" si="0"/>
        <v>OK</v>
      </c>
    </row>
    <row r="6" spans="1:4" ht="33.950000000000003" customHeight="1">
      <c r="A6" s="2" t="s">
        <v>77</v>
      </c>
      <c r="B6" s="2">
        <f>COUNTIF(Реєстр!$C$2:$C$26,A6)</f>
        <v>4</v>
      </c>
      <c r="C6" s="2">
        <v>2</v>
      </c>
      <c r="D6" s="2" t="str">
        <f t="shared" si="0"/>
        <v>OK</v>
      </c>
    </row>
    <row r="7" spans="1:4" ht="33.950000000000003" customHeight="1">
      <c r="A7" s="2" t="s">
        <v>89</v>
      </c>
      <c r="B7" s="2">
        <f>COUNTIF(Реєстр!$C$2:$C$26,A7)</f>
        <v>4</v>
      </c>
      <c r="C7" s="2">
        <v>2</v>
      </c>
      <c r="D7" s="2" t="str">
        <f t="shared" si="0"/>
        <v>OK</v>
      </c>
    </row>
    <row r="9" spans="1:4">
      <c r="A9" s="4" t="s">
        <v>144</v>
      </c>
      <c r="B9" s="4">
        <f>COUNT(Реєстр!A2:A26)</f>
        <v>25</v>
      </c>
    </row>
    <row r="10" spans="1:4">
      <c r="A10" s="4" t="s">
        <v>145</v>
      </c>
      <c r="B10" s="4">
        <v>16</v>
      </c>
    </row>
    <row r="11" spans="1:4">
      <c r="A11" s="4" t="s">
        <v>146</v>
      </c>
      <c r="B11" s="4">
        <v>40</v>
      </c>
    </row>
    <row r="12" spans="1:4">
      <c r="A12" s="4" t="s">
        <v>147</v>
      </c>
      <c r="B12" s="4">
        <v>7</v>
      </c>
    </row>
    <row r="13" spans="1:4">
      <c r="A13" s="4" t="s">
        <v>148</v>
      </c>
      <c r="B13" s="4">
        <v>20</v>
      </c>
    </row>
    <row r="14" spans="1:4">
      <c r="A14" s="4" t="s">
        <v>149</v>
      </c>
      <c r="B14" s="4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7"/>
  <sheetViews>
    <sheetView zoomScale="85" zoomScaleNormal="85" workbookViewId="0">
      <pane ySplit="1" topLeftCell="A9" activePane="bottomLeft" state="frozen"/>
      <selection pane="bottomLeft" activeCell="H17" sqref="H17"/>
    </sheetView>
  </sheetViews>
  <sheetFormatPr defaultRowHeight="14.25"/>
  <cols>
    <col min="1" max="1" width="27" customWidth="1"/>
    <col min="2" max="2" width="20" customWidth="1"/>
    <col min="3" max="3" width="24" customWidth="1"/>
    <col min="4" max="4" width="65" customWidth="1"/>
    <col min="5" max="5" width="29" customWidth="1"/>
    <col min="6" max="6" width="58" customWidth="1"/>
    <col min="7" max="7" width="19" customWidth="1"/>
  </cols>
  <sheetData>
    <row r="1" spans="1:7" ht="30" customHeight="1">
      <c r="A1" s="6" t="s">
        <v>195</v>
      </c>
      <c r="B1" s="6" t="s">
        <v>118</v>
      </c>
      <c r="C1" s="6" t="s">
        <v>2</v>
      </c>
      <c r="D1" s="6" t="s">
        <v>196</v>
      </c>
      <c r="E1" s="6" t="s">
        <v>197</v>
      </c>
      <c r="F1" s="6" t="s">
        <v>198</v>
      </c>
      <c r="G1" s="6" t="s">
        <v>199</v>
      </c>
    </row>
    <row r="2" spans="1:7" ht="69.95" customHeight="1">
      <c r="A2" s="1" t="s">
        <v>200</v>
      </c>
      <c r="B2" s="1" t="s">
        <v>8</v>
      </c>
      <c r="C2" s="1" t="s">
        <v>9</v>
      </c>
      <c r="D2" s="1" t="s">
        <v>201</v>
      </c>
      <c r="E2" s="1" t="s">
        <v>202</v>
      </c>
      <c r="F2" s="5" t="s">
        <v>203</v>
      </c>
      <c r="G2" s="7">
        <v>46309</v>
      </c>
    </row>
    <row r="3" spans="1:7" ht="69.95" customHeight="1">
      <c r="A3" s="1" t="s">
        <v>204</v>
      </c>
      <c r="B3" s="1" t="s">
        <v>14</v>
      </c>
      <c r="C3" s="1" t="s">
        <v>9</v>
      </c>
      <c r="D3" s="1" t="s">
        <v>205</v>
      </c>
      <c r="E3" s="1" t="s">
        <v>202</v>
      </c>
      <c r="F3" s="5" t="s">
        <v>206</v>
      </c>
      <c r="G3" s="7">
        <v>46309</v>
      </c>
    </row>
    <row r="4" spans="1:7" ht="69.95" customHeight="1">
      <c r="A4" s="1" t="s">
        <v>207</v>
      </c>
      <c r="B4" s="1" t="s">
        <v>28</v>
      </c>
      <c r="C4" s="1" t="s">
        <v>29</v>
      </c>
      <c r="D4" s="1" t="s">
        <v>208</v>
      </c>
      <c r="E4" s="1" t="s">
        <v>202</v>
      </c>
      <c r="F4" s="5" t="s">
        <v>209</v>
      </c>
      <c r="G4" s="7">
        <v>46309</v>
      </c>
    </row>
    <row r="5" spans="1:7" ht="69.95" customHeight="1">
      <c r="A5" s="1" t="s">
        <v>210</v>
      </c>
      <c r="B5" s="1" t="s">
        <v>33</v>
      </c>
      <c r="C5" s="1" t="s">
        <v>29</v>
      </c>
      <c r="D5" s="1" t="s">
        <v>211</v>
      </c>
      <c r="E5" s="1" t="s">
        <v>202</v>
      </c>
      <c r="F5" s="5" t="s">
        <v>212</v>
      </c>
      <c r="G5" s="7">
        <v>46309</v>
      </c>
    </row>
    <row r="6" spans="1:7" ht="69.95" customHeight="1">
      <c r="A6" s="1" t="s">
        <v>213</v>
      </c>
      <c r="B6" s="1" t="s">
        <v>39</v>
      </c>
      <c r="C6" s="1" t="s">
        <v>29</v>
      </c>
      <c r="D6" s="1" t="s">
        <v>214</v>
      </c>
      <c r="E6" s="1" t="s">
        <v>202</v>
      </c>
      <c r="F6" s="5" t="s">
        <v>215</v>
      </c>
      <c r="G6" s="7">
        <v>46309</v>
      </c>
    </row>
    <row r="7" spans="1:7" ht="69.95" customHeight="1">
      <c r="A7" s="1" t="s">
        <v>216</v>
      </c>
      <c r="B7" s="1" t="s">
        <v>43</v>
      </c>
      <c r="C7" s="1" t="s">
        <v>44</v>
      </c>
      <c r="D7" s="1" t="s">
        <v>217</v>
      </c>
      <c r="E7" s="1" t="s">
        <v>202</v>
      </c>
      <c r="F7" s="5" t="s">
        <v>218</v>
      </c>
      <c r="G7" s="7">
        <v>46309</v>
      </c>
    </row>
    <row r="8" spans="1:7" ht="69.95" customHeight="1">
      <c r="A8" s="1" t="s">
        <v>219</v>
      </c>
      <c r="B8" s="1" t="s">
        <v>51</v>
      </c>
      <c r="C8" s="1" t="s">
        <v>44</v>
      </c>
      <c r="D8" s="1" t="s">
        <v>220</v>
      </c>
      <c r="E8" s="1" t="s">
        <v>202</v>
      </c>
      <c r="F8" s="5" t="s">
        <v>221</v>
      </c>
      <c r="G8" s="7">
        <v>46309</v>
      </c>
    </row>
    <row r="9" spans="1:7" ht="69.95" customHeight="1">
      <c r="A9" s="1" t="s">
        <v>222</v>
      </c>
      <c r="B9" s="1" t="s">
        <v>57</v>
      </c>
      <c r="C9" s="1" t="s">
        <v>44</v>
      </c>
      <c r="D9" s="1" t="s">
        <v>223</v>
      </c>
      <c r="E9" s="1" t="s">
        <v>202</v>
      </c>
      <c r="F9" s="5" t="s">
        <v>224</v>
      </c>
      <c r="G9" s="7">
        <v>46309</v>
      </c>
    </row>
    <row r="10" spans="1:7" ht="69.95" customHeight="1">
      <c r="A10" s="1" t="s">
        <v>225</v>
      </c>
      <c r="B10" s="1" t="s">
        <v>66</v>
      </c>
      <c r="C10" s="1" t="s">
        <v>62</v>
      </c>
      <c r="D10" s="1" t="s">
        <v>226</v>
      </c>
      <c r="E10" s="1" t="s">
        <v>202</v>
      </c>
      <c r="F10" s="5" t="s">
        <v>227</v>
      </c>
      <c r="G10" s="7">
        <v>46309</v>
      </c>
    </row>
    <row r="11" spans="1:7" ht="69.95" customHeight="1">
      <c r="A11" s="1" t="s">
        <v>228</v>
      </c>
      <c r="B11" s="1" t="s">
        <v>69</v>
      </c>
      <c r="C11" s="1" t="s">
        <v>62</v>
      </c>
      <c r="D11" s="1" t="s">
        <v>229</v>
      </c>
      <c r="E11" s="1" t="s">
        <v>202</v>
      </c>
      <c r="F11" s="5" t="s">
        <v>230</v>
      </c>
      <c r="G11" s="7">
        <v>46309</v>
      </c>
    </row>
    <row r="12" spans="1:7" ht="69.95" customHeight="1">
      <c r="A12" s="1" t="s">
        <v>231</v>
      </c>
      <c r="B12" s="1" t="s">
        <v>73</v>
      </c>
      <c r="C12" s="1" t="s">
        <v>62</v>
      </c>
      <c r="D12" s="1" t="s">
        <v>232</v>
      </c>
      <c r="E12" s="1" t="s">
        <v>202</v>
      </c>
      <c r="F12" s="5" t="s">
        <v>233</v>
      </c>
      <c r="G12" s="7">
        <v>46309</v>
      </c>
    </row>
    <row r="13" spans="1:7" ht="69.95" customHeight="1">
      <c r="A13" s="1" t="s">
        <v>234</v>
      </c>
      <c r="B13" s="1" t="s">
        <v>76</v>
      </c>
      <c r="C13" s="1" t="s">
        <v>77</v>
      </c>
      <c r="D13" s="1" t="s">
        <v>235</v>
      </c>
      <c r="E13" s="1" t="s">
        <v>202</v>
      </c>
      <c r="F13" s="5" t="s">
        <v>236</v>
      </c>
      <c r="G13" s="7">
        <v>46309</v>
      </c>
    </row>
    <row r="14" spans="1:7" ht="69.95" customHeight="1">
      <c r="A14" s="1" t="s">
        <v>237</v>
      </c>
      <c r="B14" s="1" t="s">
        <v>85</v>
      </c>
      <c r="C14" s="1" t="s">
        <v>77</v>
      </c>
      <c r="D14" s="1" t="s">
        <v>238</v>
      </c>
      <c r="E14" s="1" t="s">
        <v>202</v>
      </c>
      <c r="F14" s="5" t="s">
        <v>239</v>
      </c>
      <c r="G14" s="7">
        <v>46309</v>
      </c>
    </row>
    <row r="15" spans="1:7" ht="69.95" customHeight="1">
      <c r="A15" s="1" t="s">
        <v>240</v>
      </c>
      <c r="B15" s="1" t="s">
        <v>93</v>
      </c>
      <c r="C15" s="1" t="s">
        <v>89</v>
      </c>
      <c r="D15" s="1" t="s">
        <v>241</v>
      </c>
      <c r="E15" s="1" t="s">
        <v>202</v>
      </c>
      <c r="F15" s="5" t="s">
        <v>242</v>
      </c>
      <c r="G15" s="7">
        <v>46309</v>
      </c>
    </row>
    <row r="16" spans="1:7" ht="69.95" customHeight="1">
      <c r="A16" s="1" t="s">
        <v>243</v>
      </c>
      <c r="B16" s="1" t="s">
        <v>96</v>
      </c>
      <c r="C16" s="1" t="s">
        <v>89</v>
      </c>
      <c r="D16" s="1" t="s">
        <v>244</v>
      </c>
      <c r="E16" s="1" t="s">
        <v>202</v>
      </c>
      <c r="F16" s="5" t="s">
        <v>245</v>
      </c>
      <c r="G16" s="7">
        <v>46309</v>
      </c>
    </row>
    <row r="17" spans="1:7" ht="69.95" customHeight="1">
      <c r="A17" s="1" t="s">
        <v>246</v>
      </c>
      <c r="B17" s="1" t="s">
        <v>99</v>
      </c>
      <c r="C17" s="1" t="s">
        <v>89</v>
      </c>
      <c r="D17" s="1" t="s">
        <v>247</v>
      </c>
      <c r="E17" s="1" t="s">
        <v>202</v>
      </c>
      <c r="F17" s="5" t="s">
        <v>248</v>
      </c>
      <c r="G17" s="7">
        <v>46309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5"/>
  <sheetViews>
    <sheetView zoomScale="85" zoomScaleNormal="85" workbookViewId="0">
      <pane ySplit="1" topLeftCell="A2" activePane="bottomLeft" state="frozen"/>
      <selection pane="bottomLeft" activeCell="G2" sqref="G2:G3"/>
    </sheetView>
  </sheetViews>
  <sheetFormatPr defaultRowHeight="14.25"/>
  <cols>
    <col min="1" max="1" width="27" customWidth="1"/>
    <col min="2" max="2" width="20" customWidth="1"/>
    <col min="3" max="3" width="24" customWidth="1"/>
    <col min="4" max="4" width="65" customWidth="1"/>
    <col min="5" max="5" width="29" customWidth="1"/>
    <col min="6" max="6" width="58" customWidth="1"/>
    <col min="7" max="7" width="19" customWidth="1"/>
  </cols>
  <sheetData>
    <row r="1" spans="1:7" ht="30" customHeight="1">
      <c r="A1" s="6" t="s">
        <v>249</v>
      </c>
      <c r="B1" s="6" t="s">
        <v>118</v>
      </c>
      <c r="C1" s="6" t="s">
        <v>2</v>
      </c>
      <c r="D1" s="6" t="s">
        <v>196</v>
      </c>
      <c r="E1" s="6" t="s">
        <v>197</v>
      </c>
      <c r="F1" s="6" t="s">
        <v>198</v>
      </c>
      <c r="G1" s="6" t="s">
        <v>199</v>
      </c>
    </row>
    <row r="2" spans="1:7" ht="69.95" customHeight="1">
      <c r="A2" s="1" t="s">
        <v>250</v>
      </c>
      <c r="B2" s="1" t="s">
        <v>8</v>
      </c>
      <c r="C2" s="1" t="s">
        <v>9</v>
      </c>
      <c r="D2" s="1" t="s">
        <v>201</v>
      </c>
      <c r="E2" s="1" t="s">
        <v>202</v>
      </c>
      <c r="F2" s="5" t="s">
        <v>251</v>
      </c>
      <c r="G2" s="7">
        <v>46309</v>
      </c>
    </row>
    <row r="3" spans="1:7" ht="69.95" customHeight="1">
      <c r="A3" s="1" t="s">
        <v>252</v>
      </c>
      <c r="B3" s="1" t="s">
        <v>14</v>
      </c>
      <c r="C3" s="1" t="s">
        <v>9</v>
      </c>
      <c r="D3" s="1" t="s">
        <v>205</v>
      </c>
      <c r="E3" s="1" t="s">
        <v>202</v>
      </c>
      <c r="F3" s="5" t="s">
        <v>253</v>
      </c>
      <c r="G3" s="7">
        <v>46309</v>
      </c>
    </row>
    <row r="4" spans="1:7" ht="69.95" customHeight="1">
      <c r="A4" s="1" t="s">
        <v>254</v>
      </c>
      <c r="B4" s="1" t="s">
        <v>23</v>
      </c>
      <c r="C4" s="1" t="s">
        <v>9</v>
      </c>
      <c r="D4" s="1" t="s">
        <v>255</v>
      </c>
      <c r="E4" s="1" t="s">
        <v>202</v>
      </c>
      <c r="F4" s="5" t="s">
        <v>256</v>
      </c>
      <c r="G4" s="7">
        <v>46309</v>
      </c>
    </row>
    <row r="5" spans="1:7" ht="69.95" customHeight="1">
      <c r="A5" s="1" t="s">
        <v>257</v>
      </c>
      <c r="B5" s="1" t="s">
        <v>28</v>
      </c>
      <c r="C5" s="1" t="s">
        <v>29</v>
      </c>
      <c r="D5" s="1" t="s">
        <v>208</v>
      </c>
      <c r="E5" s="1" t="s">
        <v>202</v>
      </c>
      <c r="F5" s="5" t="s">
        <v>258</v>
      </c>
      <c r="G5" s="7">
        <v>46309</v>
      </c>
    </row>
    <row r="6" spans="1:7" ht="69.95" customHeight="1">
      <c r="A6" s="1" t="s">
        <v>259</v>
      </c>
      <c r="B6" s="1" t="s">
        <v>33</v>
      </c>
      <c r="C6" s="1" t="s">
        <v>29</v>
      </c>
      <c r="D6" s="1" t="s">
        <v>211</v>
      </c>
      <c r="E6" s="1" t="s">
        <v>202</v>
      </c>
      <c r="F6" s="5" t="s">
        <v>260</v>
      </c>
      <c r="G6" s="7">
        <v>46309</v>
      </c>
    </row>
    <row r="7" spans="1:7" ht="69.95" customHeight="1">
      <c r="A7" s="1" t="s">
        <v>261</v>
      </c>
      <c r="B7" s="1" t="s">
        <v>36</v>
      </c>
      <c r="C7" s="1" t="s">
        <v>29</v>
      </c>
      <c r="D7" s="1" t="s">
        <v>262</v>
      </c>
      <c r="E7" s="1" t="s">
        <v>202</v>
      </c>
      <c r="F7" s="5" t="s">
        <v>263</v>
      </c>
      <c r="G7" s="7">
        <v>46309</v>
      </c>
    </row>
    <row r="8" spans="1:7" ht="69.95" customHeight="1">
      <c r="A8" s="1" t="s">
        <v>264</v>
      </c>
      <c r="B8" s="1" t="s">
        <v>43</v>
      </c>
      <c r="C8" s="1" t="s">
        <v>44</v>
      </c>
      <c r="D8" s="1" t="s">
        <v>217</v>
      </c>
      <c r="E8" s="1" t="s">
        <v>202</v>
      </c>
      <c r="F8" s="5" t="s">
        <v>265</v>
      </c>
      <c r="G8" s="7">
        <v>46309</v>
      </c>
    </row>
    <row r="9" spans="1:7" ht="69.95" customHeight="1">
      <c r="A9" s="1" t="s">
        <v>266</v>
      </c>
      <c r="B9" s="1" t="s">
        <v>48</v>
      </c>
      <c r="C9" s="1" t="s">
        <v>44</v>
      </c>
      <c r="D9" s="1" t="s">
        <v>267</v>
      </c>
      <c r="E9" s="1" t="s">
        <v>202</v>
      </c>
      <c r="F9" s="5" t="s">
        <v>268</v>
      </c>
      <c r="G9" s="7">
        <v>46309</v>
      </c>
    </row>
    <row r="10" spans="1:7" ht="69.95" customHeight="1">
      <c r="A10" s="1" t="s">
        <v>269</v>
      </c>
      <c r="B10" s="1" t="s">
        <v>51</v>
      </c>
      <c r="C10" s="1" t="s">
        <v>44</v>
      </c>
      <c r="D10" s="1" t="s">
        <v>220</v>
      </c>
      <c r="E10" s="1" t="s">
        <v>202</v>
      </c>
      <c r="F10" s="5" t="s">
        <v>270</v>
      </c>
      <c r="G10" s="7">
        <v>46309</v>
      </c>
    </row>
    <row r="11" spans="1:7" ht="69.95" customHeight="1">
      <c r="A11" s="1" t="s">
        <v>271</v>
      </c>
      <c r="B11" s="1" t="s">
        <v>69</v>
      </c>
      <c r="C11" s="1" t="s">
        <v>62</v>
      </c>
      <c r="D11" s="1" t="s">
        <v>229</v>
      </c>
      <c r="E11" s="1" t="s">
        <v>202</v>
      </c>
      <c r="F11" s="5" t="s">
        <v>272</v>
      </c>
      <c r="G11" s="7">
        <v>46309</v>
      </c>
    </row>
    <row r="12" spans="1:7" ht="69.95" customHeight="1">
      <c r="A12" s="1" t="s">
        <v>273</v>
      </c>
      <c r="B12" s="1" t="s">
        <v>73</v>
      </c>
      <c r="C12" s="1" t="s">
        <v>62</v>
      </c>
      <c r="D12" s="1" t="s">
        <v>232</v>
      </c>
      <c r="E12" s="1" t="s">
        <v>202</v>
      </c>
      <c r="F12" s="5" t="s">
        <v>274</v>
      </c>
      <c r="G12" s="7">
        <v>46309</v>
      </c>
    </row>
    <row r="13" spans="1:7" ht="69.95" customHeight="1">
      <c r="A13" s="1" t="s">
        <v>275</v>
      </c>
      <c r="B13" s="1" t="s">
        <v>76</v>
      </c>
      <c r="C13" s="1" t="s">
        <v>77</v>
      </c>
      <c r="D13" s="1" t="s">
        <v>235</v>
      </c>
      <c r="E13" s="1" t="s">
        <v>202</v>
      </c>
      <c r="F13" s="5" t="s">
        <v>276</v>
      </c>
      <c r="G13" s="7">
        <v>46309</v>
      </c>
    </row>
    <row r="14" spans="1:7" ht="69.95" customHeight="1">
      <c r="A14" s="1" t="s">
        <v>277</v>
      </c>
      <c r="B14" s="1" t="s">
        <v>80</v>
      </c>
      <c r="C14" s="1" t="s">
        <v>77</v>
      </c>
      <c r="D14" s="1" t="s">
        <v>278</v>
      </c>
      <c r="E14" s="1" t="s">
        <v>202</v>
      </c>
      <c r="F14" s="5" t="s">
        <v>279</v>
      </c>
      <c r="G14" s="7">
        <v>46309</v>
      </c>
    </row>
    <row r="15" spans="1:7" ht="69.95" customHeight="1">
      <c r="A15" s="1" t="s">
        <v>280</v>
      </c>
      <c r="B15" s="1" t="s">
        <v>23</v>
      </c>
      <c r="C15" s="1" t="s">
        <v>77</v>
      </c>
      <c r="D15" s="1" t="s">
        <v>281</v>
      </c>
      <c r="E15" s="1" t="s">
        <v>202</v>
      </c>
      <c r="F15" s="5" t="s">
        <v>282</v>
      </c>
      <c r="G15" s="7">
        <v>46309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zoomScale="85" zoomScaleNormal="85" workbookViewId="0">
      <pane ySplit="1" topLeftCell="A5" activePane="bottomLeft" state="frozen"/>
      <selection pane="bottomLeft" activeCell="F22" sqref="F22"/>
    </sheetView>
  </sheetViews>
  <sheetFormatPr defaultRowHeight="14.25"/>
  <cols>
    <col min="1" max="1" width="27" customWidth="1"/>
    <col min="2" max="2" width="20" customWidth="1"/>
    <col min="3" max="3" width="24" customWidth="1"/>
    <col min="4" max="4" width="65" customWidth="1"/>
    <col min="5" max="5" width="29" customWidth="1"/>
    <col min="6" max="6" width="58" customWidth="1"/>
    <col min="7" max="7" width="19" customWidth="1"/>
  </cols>
  <sheetData>
    <row r="1" spans="1:7" ht="30" customHeight="1">
      <c r="A1" s="6" t="s">
        <v>283</v>
      </c>
      <c r="B1" s="6" t="s">
        <v>118</v>
      </c>
      <c r="C1" s="6" t="s">
        <v>2</v>
      </c>
      <c r="D1" s="6" t="s">
        <v>196</v>
      </c>
      <c r="E1" s="6" t="s">
        <v>197</v>
      </c>
      <c r="F1" s="6" t="s">
        <v>198</v>
      </c>
      <c r="G1" s="6" t="s">
        <v>199</v>
      </c>
    </row>
    <row r="2" spans="1:7" ht="69.95" customHeight="1">
      <c r="A2" s="1" t="s">
        <v>284</v>
      </c>
      <c r="B2" s="1" t="s">
        <v>19</v>
      </c>
      <c r="C2" s="1" t="s">
        <v>9</v>
      </c>
      <c r="D2" s="1" t="s">
        <v>285</v>
      </c>
      <c r="E2" s="1" t="s">
        <v>202</v>
      </c>
      <c r="F2" s="5" t="s">
        <v>286</v>
      </c>
      <c r="G2" s="7">
        <v>46309</v>
      </c>
    </row>
    <row r="3" spans="1:7" ht="69.95" customHeight="1">
      <c r="A3" s="1" t="s">
        <v>287</v>
      </c>
      <c r="B3" s="1" t="s">
        <v>23</v>
      </c>
      <c r="C3" s="1" t="s">
        <v>9</v>
      </c>
      <c r="D3" s="1" t="s">
        <v>255</v>
      </c>
      <c r="E3" s="1" t="s">
        <v>202</v>
      </c>
      <c r="F3" s="5" t="s">
        <v>288</v>
      </c>
      <c r="G3" s="7">
        <v>46309</v>
      </c>
    </row>
    <row r="4" spans="1:7" ht="69.95" customHeight="1">
      <c r="A4" s="1" t="s">
        <v>289</v>
      </c>
      <c r="B4" s="1" t="s">
        <v>36</v>
      </c>
      <c r="C4" s="1" t="s">
        <v>29</v>
      </c>
      <c r="D4" s="1" t="s">
        <v>262</v>
      </c>
      <c r="E4" s="1" t="s">
        <v>202</v>
      </c>
      <c r="F4" s="5" t="s">
        <v>290</v>
      </c>
      <c r="G4" s="7">
        <v>46309</v>
      </c>
    </row>
    <row r="5" spans="1:7" ht="69.95" customHeight="1">
      <c r="A5" s="1" t="s">
        <v>291</v>
      </c>
      <c r="B5" s="1" t="s">
        <v>48</v>
      </c>
      <c r="C5" s="1" t="s">
        <v>44</v>
      </c>
      <c r="D5" s="1" t="s">
        <v>267</v>
      </c>
      <c r="E5" s="1" t="s">
        <v>202</v>
      </c>
      <c r="F5" s="5" t="s">
        <v>292</v>
      </c>
      <c r="G5" s="7">
        <v>46309</v>
      </c>
    </row>
    <row r="6" spans="1:7" ht="69.95" customHeight="1">
      <c r="A6" s="1" t="s">
        <v>293</v>
      </c>
      <c r="B6" s="1" t="s">
        <v>54</v>
      </c>
      <c r="C6" s="1" t="s">
        <v>44</v>
      </c>
      <c r="D6" s="1" t="s">
        <v>294</v>
      </c>
      <c r="E6" s="1" t="s">
        <v>202</v>
      </c>
      <c r="F6" s="5" t="s">
        <v>295</v>
      </c>
      <c r="G6" s="7">
        <v>46309</v>
      </c>
    </row>
    <row r="7" spans="1:7" ht="69.95" customHeight="1">
      <c r="A7" s="1" t="s">
        <v>296</v>
      </c>
      <c r="B7" s="1" t="s">
        <v>61</v>
      </c>
      <c r="C7" s="1" t="s">
        <v>62</v>
      </c>
      <c r="D7" s="1" t="s">
        <v>297</v>
      </c>
      <c r="E7" s="1" t="s">
        <v>202</v>
      </c>
      <c r="F7" s="5" t="s">
        <v>298</v>
      </c>
      <c r="G7" s="7">
        <v>46309</v>
      </c>
    </row>
    <row r="8" spans="1:7" ht="69.95" customHeight="1">
      <c r="A8" s="1" t="s">
        <v>299</v>
      </c>
      <c r="B8" s="1" t="s">
        <v>80</v>
      </c>
      <c r="C8" s="1" t="s">
        <v>77</v>
      </c>
      <c r="D8" s="1" t="s">
        <v>278</v>
      </c>
      <c r="E8" s="1" t="s">
        <v>202</v>
      </c>
      <c r="F8" s="5" t="s">
        <v>300</v>
      </c>
      <c r="G8" s="7">
        <v>46309</v>
      </c>
    </row>
    <row r="9" spans="1:7" ht="69.95" customHeight="1">
      <c r="A9" s="1" t="s">
        <v>301</v>
      </c>
      <c r="B9" s="1" t="s">
        <v>23</v>
      </c>
      <c r="C9" s="1" t="s">
        <v>77</v>
      </c>
      <c r="D9" s="1" t="s">
        <v>281</v>
      </c>
      <c r="E9" s="1" t="s">
        <v>202</v>
      </c>
      <c r="F9" s="5" t="s">
        <v>302</v>
      </c>
      <c r="G9" s="7">
        <v>46309</v>
      </c>
    </row>
    <row r="10" spans="1:7" ht="69.95" customHeight="1">
      <c r="A10" s="1" t="s">
        <v>303</v>
      </c>
      <c r="B10" s="1" t="s">
        <v>88</v>
      </c>
      <c r="C10" s="1" t="s">
        <v>89</v>
      </c>
      <c r="D10" s="1" t="s">
        <v>304</v>
      </c>
      <c r="E10" s="1" t="s">
        <v>202</v>
      </c>
      <c r="F10" s="5" t="s">
        <v>305</v>
      </c>
      <c r="G10" s="7">
        <v>46309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2"/>
  <sheetViews>
    <sheetView zoomScale="85" zoomScaleNormal="85" workbookViewId="0">
      <pane ySplit="1" topLeftCell="A2" activePane="bottomLeft" state="frozen"/>
      <selection pane="bottomLeft" activeCell="I12" sqref="I12"/>
    </sheetView>
  </sheetViews>
  <sheetFormatPr defaultRowHeight="14.25"/>
  <cols>
    <col min="1" max="1" width="27" customWidth="1"/>
    <col min="2" max="2" width="20" customWidth="1"/>
    <col min="3" max="3" width="24" customWidth="1"/>
    <col min="4" max="4" width="65" customWidth="1"/>
    <col min="5" max="5" width="29" customWidth="1"/>
    <col min="6" max="6" width="58" customWidth="1"/>
    <col min="7" max="7" width="19" customWidth="1"/>
  </cols>
  <sheetData>
    <row r="1" spans="1:7" ht="30" customHeight="1">
      <c r="A1" s="6" t="s">
        <v>306</v>
      </c>
      <c r="B1" s="6" t="s">
        <v>118</v>
      </c>
      <c r="C1" s="6" t="s">
        <v>2</v>
      </c>
      <c r="D1" s="6" t="s">
        <v>196</v>
      </c>
      <c r="E1" s="6" t="s">
        <v>197</v>
      </c>
      <c r="F1" s="6" t="s">
        <v>198</v>
      </c>
      <c r="G1" s="6" t="s">
        <v>199</v>
      </c>
    </row>
    <row r="2" spans="1:7" ht="69.95" customHeight="1">
      <c r="A2" s="1" t="s">
        <v>307</v>
      </c>
      <c r="B2" s="1" t="s">
        <v>19</v>
      </c>
      <c r="C2" s="1" t="s">
        <v>9</v>
      </c>
      <c r="D2" s="1" t="s">
        <v>285</v>
      </c>
      <c r="E2" s="1" t="s">
        <v>202</v>
      </c>
      <c r="F2" s="5" t="s">
        <v>308</v>
      </c>
      <c r="G2" s="7">
        <v>46309</v>
      </c>
    </row>
    <row r="3" spans="1:7" ht="69.95" customHeight="1">
      <c r="A3" s="1" t="s">
        <v>309</v>
      </c>
      <c r="B3" s="1" t="s">
        <v>39</v>
      </c>
      <c r="C3" s="1" t="s">
        <v>29</v>
      </c>
      <c r="D3" s="1" t="s">
        <v>214</v>
      </c>
      <c r="E3" s="1" t="s">
        <v>202</v>
      </c>
      <c r="F3" s="5" t="s">
        <v>310</v>
      </c>
      <c r="G3" s="7">
        <v>46309</v>
      </c>
    </row>
    <row r="4" spans="1:7" ht="69.95" customHeight="1">
      <c r="A4" s="1" t="s">
        <v>311</v>
      </c>
      <c r="B4" s="1" t="s">
        <v>54</v>
      </c>
      <c r="C4" s="1" t="s">
        <v>44</v>
      </c>
      <c r="D4" s="1" t="s">
        <v>294</v>
      </c>
      <c r="E4" s="1" t="s">
        <v>202</v>
      </c>
      <c r="F4" s="5" t="s">
        <v>312</v>
      </c>
      <c r="G4" s="7">
        <v>46309</v>
      </c>
    </row>
    <row r="5" spans="1:7" ht="69.95" customHeight="1">
      <c r="A5" s="1" t="s">
        <v>313</v>
      </c>
      <c r="B5" s="1" t="s">
        <v>57</v>
      </c>
      <c r="C5" s="1" t="s">
        <v>44</v>
      </c>
      <c r="D5" s="1" t="s">
        <v>223</v>
      </c>
      <c r="E5" s="1" t="s">
        <v>202</v>
      </c>
      <c r="F5" s="5" t="s">
        <v>314</v>
      </c>
      <c r="G5" s="7">
        <v>46309</v>
      </c>
    </row>
    <row r="6" spans="1:7" ht="69.95" customHeight="1">
      <c r="A6" s="1" t="s">
        <v>315</v>
      </c>
      <c r="B6" s="1" t="s">
        <v>61</v>
      </c>
      <c r="C6" s="1" t="s">
        <v>62</v>
      </c>
      <c r="D6" s="1" t="s">
        <v>297</v>
      </c>
      <c r="E6" s="1" t="s">
        <v>202</v>
      </c>
      <c r="F6" s="5" t="s">
        <v>316</v>
      </c>
      <c r="G6" s="7">
        <v>46309</v>
      </c>
    </row>
    <row r="7" spans="1:7" ht="69.95" customHeight="1">
      <c r="A7" s="1" t="s">
        <v>317</v>
      </c>
      <c r="B7" s="1" t="s">
        <v>66</v>
      </c>
      <c r="C7" s="1" t="s">
        <v>62</v>
      </c>
      <c r="D7" s="1" t="s">
        <v>226</v>
      </c>
      <c r="E7" s="1" t="s">
        <v>202</v>
      </c>
      <c r="F7" s="5" t="s">
        <v>318</v>
      </c>
      <c r="G7" s="7">
        <v>46309</v>
      </c>
    </row>
    <row r="8" spans="1:7" ht="69.95" customHeight="1">
      <c r="A8" s="1" t="s">
        <v>319</v>
      </c>
      <c r="B8" s="1" t="s">
        <v>85</v>
      </c>
      <c r="C8" s="1" t="s">
        <v>77</v>
      </c>
      <c r="D8" s="1" t="s">
        <v>238</v>
      </c>
      <c r="E8" s="1" t="s">
        <v>202</v>
      </c>
      <c r="F8" s="5" t="s">
        <v>320</v>
      </c>
      <c r="G8" s="7">
        <v>46309</v>
      </c>
    </row>
    <row r="9" spans="1:7" ht="69.95" customHeight="1">
      <c r="A9" s="1" t="s">
        <v>321</v>
      </c>
      <c r="B9" s="1" t="s">
        <v>88</v>
      </c>
      <c r="C9" s="1" t="s">
        <v>89</v>
      </c>
      <c r="D9" s="1" t="s">
        <v>304</v>
      </c>
      <c r="E9" s="1" t="s">
        <v>202</v>
      </c>
      <c r="F9" s="5" t="s">
        <v>322</v>
      </c>
      <c r="G9" s="7">
        <v>46309</v>
      </c>
    </row>
    <row r="10" spans="1:7" ht="69.95" customHeight="1">
      <c r="A10" s="1" t="s">
        <v>323</v>
      </c>
      <c r="B10" s="1" t="s">
        <v>93</v>
      </c>
      <c r="C10" s="1" t="s">
        <v>89</v>
      </c>
      <c r="D10" s="1" t="s">
        <v>241</v>
      </c>
      <c r="E10" s="1" t="s">
        <v>202</v>
      </c>
      <c r="F10" s="5" t="s">
        <v>324</v>
      </c>
      <c r="G10" s="7">
        <v>46309</v>
      </c>
    </row>
    <row r="11" spans="1:7" ht="69.95" customHeight="1">
      <c r="A11" s="1" t="s">
        <v>325</v>
      </c>
      <c r="B11" s="1" t="s">
        <v>96</v>
      </c>
      <c r="C11" s="1" t="s">
        <v>89</v>
      </c>
      <c r="D11" s="1" t="s">
        <v>244</v>
      </c>
      <c r="E11" s="1" t="s">
        <v>202</v>
      </c>
      <c r="F11" s="5" t="s">
        <v>326</v>
      </c>
      <c r="G11" s="7">
        <v>46309</v>
      </c>
    </row>
    <row r="12" spans="1:7" ht="69.95" customHeight="1">
      <c r="A12" s="1" t="s">
        <v>327</v>
      </c>
      <c r="B12" s="1" t="s">
        <v>99</v>
      </c>
      <c r="C12" s="1" t="s">
        <v>89</v>
      </c>
      <c r="D12" s="1" t="s">
        <v>247</v>
      </c>
      <c r="E12" s="1" t="s">
        <v>202</v>
      </c>
      <c r="F12" s="5" t="s">
        <v>328</v>
      </c>
      <c r="G12" s="7">
        <v>46309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Реєстр</vt:lpstr>
      <vt:lpstr>Розподіл розділів</vt:lpstr>
      <vt:lpstr>Спірні</vt:lpstr>
      <vt:lpstr>Підсумок</vt:lpstr>
      <vt:lpstr>ТА_аудит</vt:lpstr>
      <vt:lpstr>ІТ_аудит</vt:lpstr>
      <vt:lpstr>СМ_аудит</vt:lpstr>
      <vt:lpstr>КТ_аудит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Иван Асташов</cp:lastModifiedBy>
  <dcterms:modified xsi:type="dcterms:W3CDTF">2026-10-14T18:57:50Z</dcterms:modified>
</cp:coreProperties>
</file>