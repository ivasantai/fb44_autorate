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urez\Desktop\sprint2\docs\sprint2\"/>
    </mc:Choice>
  </mc:AlternateContent>
  <bookViews>
    <workbookView xWindow="0" yWindow="0" windowWidth="28800" windowHeight="12315"/>
  </bookViews>
  <sheets>
    <sheet name="Реєстр" sheetId="1" r:id="rId1"/>
    <sheet name="Розподіл розділів" sheetId="2" r:id="rId2"/>
    <sheet name="Спірні" sheetId="3" r:id="rId3"/>
    <sheet name="Підсумок" sheetId="4" r:id="rId4"/>
    <sheet name="ТА_аудит" sheetId="5" r:id="rId5"/>
    <sheet name="ІТ_аудит" sheetId="6" r:id="rId6"/>
    <sheet name="СМ_аудит" sheetId="7" r:id="rId7"/>
    <sheet name="КТ_аудит" sheetId="8" r:id="rId8"/>
  </sheets>
  <calcPr calcId="152511"/>
</workbook>
</file>

<file path=xl/calcChain.xml><?xml version="1.0" encoding="utf-8"?>
<calcChain xmlns="http://schemas.openxmlformats.org/spreadsheetml/2006/main">
  <c r="B9" i="4" l="1"/>
  <c r="B7" i="4"/>
  <c r="D7" i="4" s="1"/>
  <c r="B6" i="4"/>
  <c r="D6" i="4" s="1"/>
  <c r="B5" i="4"/>
  <c r="D5" i="4" s="1"/>
  <c r="B4" i="4"/>
  <c r="D4" i="4" s="1"/>
  <c r="B3" i="4"/>
  <c r="D3" i="4" s="1"/>
  <c r="B2" i="4"/>
  <c r="D2" i="4" s="1"/>
</calcChain>
</file>

<file path=xl/sharedStrings.xml><?xml version="1.0" encoding="utf-8"?>
<sst xmlns="http://schemas.openxmlformats.org/spreadsheetml/2006/main" count="629" uniqueCount="252">
  <si>
    <t>№</t>
  </si>
  <si>
    <t>ID вимоги</t>
  </si>
  <si>
    <t>Критерій</t>
  </si>
  <si>
    <t>Пункт чек-листа</t>
  </si>
  <si>
    <t>Опис дефекту</t>
  </si>
  <si>
    <t>Пропозиція виправлення</t>
  </si>
  <si>
    <t>Хто знайшов (відповідальний)</t>
  </si>
  <si>
    <t>Статус</t>
  </si>
  <si>
    <t>Посилання</t>
  </si>
  <si>
    <t>F-10</t>
  </si>
  <si>
    <t>однозначність</t>
  </si>
  <si>
    <t>п. 1, 4</t>
  </si>
  <si>
    <t>«Popular Make/Popular Model» — немає однозначного правила визначення популярності та розв’язання нічиєї.</t>
  </si>
  <si>
    <t>Обрати за кількістю голосів; за однакових значень сортувати за назвою.</t>
  </si>
  <si>
    <t>Асташов Іван</t>
  </si>
  <si>
    <t>прийнято</t>
  </si>
  <si>
    <t>RD-01</t>
  </si>
  <si>
    <t>F-30</t>
  </si>
  <si>
    <t>п. 2, 4</t>
  </si>
  <si>
    <t>«достатньо складним» не дає єдиного трактування правила пароля.</t>
  </si>
  <si>
    <t>Встановити довжину 8–64, щонайменше 1 латинська літера і 1 цифра.</t>
  </si>
  <si>
    <t>Кінаш Єгор</t>
  </si>
  <si>
    <t>RD-02</t>
  </si>
  <si>
    <t>GUI-20</t>
  </si>
  <si>
    <t>«належним чином» не вказує, за яких саме умов кнопка Register активна.</t>
  </si>
  <si>
    <t>Увімкнення лише після заповнення полів, збігу паролів та перевірки F-30.</t>
  </si>
  <si>
    <t>Рушай Євген</t>
  </si>
  <si>
    <t>RD-03</t>
  </si>
  <si>
    <t>BL-80</t>
  </si>
  <si>
    <t>п. 2, 5</t>
  </si>
  <si>
    <t>«окреме слово» у стоп-списку не визначає межі слова і поведінку щодо «spam!» / «spammer».</t>
  </si>
  <si>
    <t>Визначити слова послідовністю літер Unicode і розділювачі та приклади збігу.</t>
  </si>
  <si>
    <t>Дарина Поломарьова</t>
  </si>
  <si>
    <t>RD-04</t>
  </si>
  <si>
    <t>F-40</t>
  </si>
  <si>
    <t>повнота</t>
  </si>
  <si>
    <t>п. 4, 5</t>
  </si>
  <si>
    <t>Не описано, що відбувається за неправильного логіна або пароля (сама GUI-30 визначає тільки розміщення повідомлення).</t>
  </si>
  <si>
    <t>Не входити, лишити поточну сторінку, показати «Invalid login or password».</t>
  </si>
  <si>
    <t>RD-05</t>
  </si>
  <si>
    <t>F-140</t>
  </si>
  <si>
    <t>Не визначено стан таблиці/пагінації, якщо моделей 0.</t>
  </si>
  <si>
    <t>Показати «No models found», приховати елементи пагінації.</t>
  </si>
  <si>
    <t>RD-06</t>
  </si>
  <si>
    <t>BL-70</t>
  </si>
  <si>
    <t>Для сортування за rating не визначено порядок моделей з однаковим рейтингом.</t>
  </si>
  <si>
    <t>Додати вторинне сортування за повною назвою без урахування регістру.</t>
  </si>
  <si>
    <t>RD-07</t>
  </si>
  <si>
    <t>D-10</t>
  </si>
  <si>
    <t>п. 3</t>
  </si>
  <si>
    <t>Посилання на «АР-СТД-07», який не надано, робить неможливою перевірку довідки.</t>
  </si>
  <si>
    <t>Замінити відсутній документ переліком 5 розділів і вимог до змісту довідки.</t>
  </si>
  <si>
    <t>RD-08</t>
  </si>
  <si>
    <t>F-60</t>
  </si>
  <si>
    <t>несуперечливість</t>
  </si>
  <si>
    <t>п. 2</t>
  </si>
  <si>
    <t>Ранг визначається кількістю голосів, а F-130 — рейтингом за BL-10.</t>
  </si>
  <si>
    <t>Ранг у F-60 визначити за зваженим рейтингом, tie-break як BL-20.</t>
  </si>
  <si>
    <t>RD-09</t>
  </si>
  <si>
    <t>BL-50</t>
  </si>
  <si>
    <t>BL-50 дозволяє порожній коментар/null, F-90 забороняє голос без коментаря.</t>
  </si>
  <si>
    <t>BL-50 відхиляє null, порожній і пробільний коментар.</t>
  </si>
  <si>
    <t>RD-10</t>
  </si>
  <si>
    <t>F-130</t>
  </si>
  <si>
    <t>Мінімальний поріг у F-130 — 5 голосів, а у BL-20 — 3 голоси.</t>
  </si>
  <si>
    <t>У F-130 прийняти поріг 3 голоси і погодити F-60 з BL-20.</t>
  </si>
  <si>
    <t>RD-11</t>
  </si>
  <si>
    <t>GUI-60</t>
  </si>
  <si>
    <t>GUI-60 задає 10 рядків на сторінці, F-140 — 5 рядків.</t>
  </si>
  <si>
    <t>GUI-60: 5 рядків; узгодити з F-140.</t>
  </si>
  <si>
    <t>RD-12</t>
  </si>
  <si>
    <t>S-20</t>
  </si>
  <si>
    <t>п. 1</t>
  </si>
  <si>
    <t>У межах однієї вимоги сеанс «безстроковий» і одночасно закінчується через 30 хвилин.</t>
  </si>
  <si>
    <t>30 хвилин бездіяльності або Logout; активність скидає таймер.</t>
  </si>
  <si>
    <t>RD-13</t>
  </si>
  <si>
    <t>GUI-40 (2-й)</t>
  </si>
  <si>
    <t>простежуваність</t>
  </si>
  <si>
    <t>п. 2, 3</t>
  </si>
  <si>
    <t>Дві різні вимоги з однаковим ідентифікатором GUI-40.</t>
  </si>
  <si>
    <t>Зберегти першу GUI-40, другу позначити новим GUI-45 між GUI-40 і GUI-50.</t>
  </si>
  <si>
    <t>RD-14</t>
  </si>
  <si>
    <t>розд. 6, без ID</t>
  </si>
  <si>
    <t>Вимога «Паролі користувачів зберігаються лише у вигляді хешу» стоїть без ID.</t>
  </si>
  <si>
    <t>Призначити новий ID S-15, без зміни наявних ID.</t>
  </si>
  <si>
    <t>RD-15</t>
  </si>
  <si>
    <t>F-120</t>
  </si>
  <si>
    <t>п. 1, 5</t>
  </si>
  <si>
    <t>F-120 повторює функціональність F-70 і частину F-10 про Overall Rating.</t>
  </si>
  <si>
    <t>Вилучити дубль F-120, зберегти F-70 і зафіксувати вилучення в журналі.</t>
  </si>
  <si>
    <t>RD-16</t>
  </si>
  <si>
    <t>F-100</t>
  </si>
  <si>
    <t>Посилання на BL-35, якого немає у SRS (наявний BL-30).</t>
  </si>
  <si>
    <t>Замінити посилання в F-100 на BL-30.</t>
  </si>
  <si>
    <t>RD-17</t>
  </si>
  <si>
    <t>F-110</t>
  </si>
  <si>
    <t>здійсненність</t>
  </si>
  <si>
    <t>Перевірка адреси, телефону й віку за державними реєстрами вимагає недоступних інтеграцій.</t>
  </si>
  <si>
    <t>Перевіряти локально формат телефону, діапазон віку і довжину адреси.</t>
  </si>
  <si>
    <t>RD-18</t>
  </si>
  <si>
    <t>BL-60</t>
  </si>
  <si>
    <t>Розпізнавання будь-яких друкарських помилок, транслітерації й наміру будь-якою мовою неможливо гарантувати.</t>
  </si>
  <si>
    <t>Залишити точний пошук за префіксом без регістру, явно виключити семантичні обіцянки.</t>
  </si>
  <si>
    <t>RD-19</t>
  </si>
  <si>
    <t>«працювати без помилок за будь-яких вхідних даних» не враховує помилкові аргументи.</t>
  </si>
  <si>
    <t>Уточнити перевірки та передбачені винятки для некоректних даних.</t>
  </si>
  <si>
    <t>RD-20</t>
  </si>
  <si>
    <t>P-10</t>
  </si>
  <si>
    <t>50 мс навіть через 2G і незалежно від розміру каталогу технічно не гарантовані.</t>
  </si>
  <si>
    <t>Визначити контрольоване середовище, ≤1 000 моделей, p95 ≤3 с.</t>
  </si>
  <si>
    <t>RD-21</t>
  </si>
  <si>
    <t>GUI-70</t>
  </si>
  <si>
    <t>тестопридатність</t>
  </si>
  <si>
    <t>критерій «можливо тест-кейс pass/fail»</t>
  </si>
  <si>
    <t>«зручно ... не викликати труднощів» не має спостережуваного критерію проходження.</t>
  </si>
  <si>
    <t>Перевірити 5 користувачів: ≥4 завершують редагування ≤3 хв.</t>
  </si>
  <si>
    <t>RD-22</t>
  </si>
  <si>
    <t>P-20</t>
  </si>
  <si>
    <t>«працювати швидко» — відсутні одиниці вимірювання й умови.</t>
  </si>
  <si>
    <t>p95 відкриття моделі ≤2,5 с, підтвердження голосу ≤2 с, по 30 замірів.</t>
  </si>
  <si>
    <t>RD-23</t>
  </si>
  <si>
    <t>U-10</t>
  </si>
  <si>
    <t>«інтуїтивно ... для будь-якого» неможливо перевірити з відтворюваним результатом.</t>
  </si>
  <si>
    <t>≥4 із 5 новачків знаходять модель і голосування ≤3 хв.</t>
  </si>
  <si>
    <t>RD-24</t>
  </si>
  <si>
    <t>S-10</t>
  </si>
  <si>
    <t>«унеможливити будь-які спроби доступу» не дозволяє скінченного набору перевірок.</t>
  </si>
  <si>
    <t>Конкретні відмови для гостя й правило 5 помилок /15 хв → 15 хв блокування.</t>
  </si>
  <si>
    <t>RD-25</t>
  </si>
  <si>
    <t>Розділ SRS</t>
  </si>
  <si>
    <t>Аудитор 1</t>
  </si>
  <si>
    <t>Аудитор 2</t>
  </si>
  <si>
    <t>Особлива увага</t>
  </si>
  <si>
    <t>1. Вступ</t>
  </si>
  <si>
    <t>терміни; межі; джерела</t>
  </si>
  <si>
    <t>2. Загальний опис</t>
  </si>
  <si>
    <t>ролі; сеанси; обмеження</t>
  </si>
  <si>
    <t>3. Функціональні вимоги</t>
  </si>
  <si>
    <t>популярність; ранги; реєстрація; голос</t>
  </si>
  <si>
    <t>4. GUI-вимоги</t>
  </si>
  <si>
    <t>ідентифікатори; форми; пагінація</t>
  </si>
  <si>
    <t>5. Бізнес-логіка</t>
  </si>
  <si>
    <t>topN, validate, search, stopwords</t>
  </si>
  <si>
    <t>6. Нефункціональні вимоги</t>
  </si>
  <si>
    <t>продуктивність; безпека; довідка</t>
  </si>
  <si>
    <t>ID</t>
  </si>
  <si>
    <t>Питання</t>
  </si>
  <si>
    <t>Аргументи</t>
  </si>
  <si>
    <t>Робоче рішення</t>
  </si>
  <si>
    <t>Q-01</t>
  </si>
  <si>
    <t>F-130 / BL-20</t>
  </si>
  <si>
    <t>3 проти 5 голосів</t>
  </si>
  <si>
    <t>BL-20 задає поріг 3, F-130 — 5</t>
  </si>
  <si>
    <t>Робоче значення 3</t>
  </si>
  <si>
    <t>Підтвердити із замовником</t>
  </si>
  <si>
    <t>Q-02</t>
  </si>
  <si>
    <t>F-60 / F-130</t>
  </si>
  <si>
    <t>ранг за голосами чи rating</t>
  </si>
  <si>
    <t>Замовлена функція рейтингу тижня використовує зважені оцінки</t>
  </si>
  <si>
    <t>Ранг за рейтингом, popular за голосами</t>
  </si>
  <si>
    <t>Q-03</t>
  </si>
  <si>
    <t>складність пароля</t>
  </si>
  <si>
    <t>«достатньо складним» не має чисел</t>
  </si>
  <si>
    <t>8–64 + латинська літера й цифра</t>
  </si>
  <si>
    <t>Q-04</t>
  </si>
  <si>
    <t>S-10 / S-20</t>
  </si>
  <si>
    <t>підбір пароля і сеанс</t>
  </si>
  <si>
    <t>Не задано конкретної кількості спроб у S-10</t>
  </si>
  <si>
    <t>5 помилок /15 хв, блок 15 хв; таймаут 30 хв</t>
  </si>
  <si>
    <t>Q-05</t>
  </si>
  <si>
    <t>P-10 / P-20</t>
  </si>
  <si>
    <t>пороги часу і середовище</t>
  </si>
  <si>
    <t>50 мс навіть на 2G недосяжне</t>
  </si>
  <si>
    <t>p95 ≤3 с для рейтингу; P-20 за уточненням</t>
  </si>
  <si>
    <t>Q-06</t>
  </si>
  <si>
    <t>повторення F-70</t>
  </si>
  <si>
    <t>Дві вимоги описують один список рейтингів</t>
  </si>
  <si>
    <t>Вилучити F-120, зберігати пропуск нумерації</t>
  </si>
  <si>
    <t>Запропоновано</t>
  </si>
  <si>
    <t>Q-07</t>
  </si>
  <si>
    <t>BL-50 / F-90</t>
  </si>
  <si>
    <t>порожній коментар</t>
  </si>
  <si>
    <t>UI не приймає, а модуль приймає</t>
  </si>
  <si>
    <t>Заборонити null/порожній/пробільний коментар</t>
  </si>
  <si>
    <t>Кількість дефектів</t>
  </si>
  <si>
    <t>Норматив</t>
  </si>
  <si>
    <t>Перевірка</t>
  </si>
  <si>
    <t>Разом</t>
  </si>
  <si>
    <t>Норматив для 4 осіб</t>
  </si>
  <si>
    <t>Активних вимог SRS 1.1</t>
  </si>
  <si>
    <t>Рівнів тестування</t>
  </si>
  <si>
    <t>Застосовних типів</t>
  </si>
  <si>
    <t>Розглянуто типів</t>
  </si>
  <si>
    <t>Кандидат № — Асташов Іван</t>
  </si>
  <si>
    <t>Що перевірити</t>
  </si>
  <si>
    <t>Статус незалежного аудиту</t>
  </si>
  <si>
    <t>Власний висновок</t>
  </si>
  <si>
    <t>Дата/підпис</t>
  </si>
  <si>
    <t>перевірити незалежно</t>
  </si>
  <si>
    <t>Кандидат № — Кінаш Єгор</t>
  </si>
  <si>
    <t>Кандидат № — Рушай Євген</t>
  </si>
  <si>
    <t>Кандидат № — Дарина Поломарьова</t>
  </si>
  <si>
    <t>Зараз не зрозуміло, як саме обираються Popular Make і Popular Model при однаковій кількості голосів. Пропоную визначати популярність за голосами, а при нічиїй сортувати назви за алфавітом. Це дає одне очікуване значення для обох блоків.</t>
  </si>
  <si>
    <t>Фраза «достатньо складний пароль» допускає різні перевірки. Потрібно прямо записати умови: 8–64 символи, щонайменше одна латинська літера та одна цифра. Тоді можна скласти позитивні й негативні тест-кейси.</t>
  </si>
  <si>
    <t>У F-40 описаний лише успішний вхід. Для помилки треба додати відмову в авторизації, збереження поточної сторінки та повідомлення «Invalid login or password». Це необхідно для перевірки негативного сценарію.</t>
  </si>
  <si>
    <t>Не описано, як виглядає рейтинг, коли немає жодної моделі. Пропоную показувати «No models found» і не відображати кнопки пагінації, щоб не було порожніх сторінок. Так можна перевірити порожню вибірку.</t>
  </si>
  <si>
    <t>D-10 посилається на документ АР-СТД-07, якого немає серед матеріалів. Краще перелічити обов’язкові розділи довідки в самій SRS, щоб вимогу можна було перевірити. Інакше вимогу до довідки неможливо оцінити.</t>
  </si>
  <si>
    <t>У F-60 ранг залежить від кількості голосів, але F-130 використовує зважений рейтинг. Потрібно встановити єдине правило ранжування за рейтингом і узгодити його з BL-20. Однакове правило потрібне для тестів рейтингу.</t>
  </si>
  <si>
    <t>У F-130 вказано мінімум 5 голосів, тоді як у BL-20 — 3. Це різні очікувані результати для тієї самої моделі. Пропоную прийняти поріг 3 голоси, узгодивши його із замовником. До погодження порогу тест-кейс матиме два результати.</t>
  </si>
  <si>
    <t>Сеанс не може бути водночас безстроковим і завершуватися через 30 хвилин. Пропоную визначити завершення після 30 хвилин бездіяльності або натискання Logout. Це дозволить перевірити час очікування.</t>
  </si>
  <si>
    <t>Правило зберігання паролів як хешів не має власного ID, тому на нього не можна посилатися з тестів. Пропоную додати ID S-15 без перенумерації інших вимог. Новий ID потрібний у матриці простежуваності.</t>
  </si>
  <si>
    <t>F-120 повторює загальний рейтинг, який уже описано у F-70 та частково F-10. Дубль краще вилучити, залишивши номер F-120 вільним і зафіксувавши це в журналі змін. Один тест не повинен прив’язуватися до двох дублікатів.</t>
  </si>
  <si>
    <t>F-100 посилається на BL-35, але такої вимоги в документі немає. Посилання потрібно замінити на наявну BL-30, щоб можна було простежити правило до тесту. Без цього зв’язок із BL-вимогою некоректний.</t>
  </si>
  <si>
    <t>Перевірка даних через державні реєстри потребує інтеграцій, які для цього продукту не передбачені. Реально виконати локальну перевірку формату телефону, віку та довжини адреси. Після уточнення можна задати перевірювані вхідні дані.</t>
  </si>
  <si>
    <t>Час 50 мс навіть у мережі 2G не залежить повністю від застосунку і не може гарантуватися. Пропоную міряти p95 ≤ 3 с у визначеному середовищі на каталозі до 1000 моделей. Умови мережі та вибірку необхідно записати в плані.</t>
  </si>
  <si>
    <t>Поняття «працювати швидко» не можна перевірити без чисел. Потрібні вимірювані умови: p95 відкриття моделі ≤ 2,5 с, підтвердження голосу ≤ 2 с за 30 вимірів. Такі пороги дозволять фіксувати пройдено/не пройдено.</t>
  </si>
  <si>
    <t>Твердження «інтуїтивно для будь-якого» неможливо підтвердити одним тестом. Пропоную критерій: щонайменше 4 з 5 новачків знаходять модель і можливість проголосувати за 3 хвилини. Отримаємо відтворюваний критерій юзабіліті.</t>
  </si>
  <si>
    <t>Обіцянку заблокувати будь-яку спробу несанкціонованого доступу неможливо перевірити вичерпно. Слід описати конкретні заборони гостю й правило блокування після 5 невдалих входів за 15 хвилин. Такі перевірки реально внести до набору тест-кейсів.</t>
  </si>
  <si>
    <t>Зараз не зрозуміло, як саме обираються Popular Make і Popular Model при однаковій кількості голосів. Пропоную визначати популярність за голосами, а при нічиїй сортувати назви за алфавітом. Для граничного випадку в тесті слід взяти дві моделі з однаковими голосами.</t>
  </si>
  <si>
    <t>Фраза «достатньо складний пароль» допускає різні перевірки. Потрібно прямо записати умови: 8–64 символи, щонайменше одна латинська літера та одна цифра. Перевірити довжину 7, 8, 64 та 65 символів.</t>
  </si>
  <si>
    <t>Не визначено, що вважати окремим словом зі стоп-списку. Варто перевіряти межі слова за літерами Unicode: «spam!» повинно збігатися зі словом spam, а «spammer» — ні. У юніт-тесті потрібні приклади з пунктуацією та вкладеним словом.</t>
  </si>
  <si>
    <t>У F-40 описаний лише успішний вхід. Для помилки треба додати відмову в авторизації, збереження поточної сторінки та повідомлення «Invalid login or password». Окремий тест має перевіряти неправильні облікові дані.</t>
  </si>
  <si>
    <t>Не описано, як виглядає рейтинг, коли немає жодної моделі. Пропоную показувати «No models found» і не відображати кнопки пагінації, щоб не було порожніх сторінок. Перевіряється відсутність пагінації за нульового результату.</t>
  </si>
  <si>
    <t>Сортування моделей з однаковим rating не задане, тому порядок може змінюватися між запусками. Після рейтингу потрібно сортувати за повною назвою моделі без урахування регістру. Можна підготувати два записи з однаковим рейтингом.</t>
  </si>
  <si>
    <t>У F-60 ранг залежить від кількості голосів, але F-130 використовує зважений рейтинг. Потрібно встановити єдине правило ранжування за рейтингом і узгодити його з BL-20. Слід створити модель з більшою кількістю, але нижчою зваженою оцінкою.</t>
  </si>
  <si>
    <t>F-90 не дозволяє голосувати без коментаря, а BL-50 фактично пропускає порожнє значення. Модуль повинен відхиляти null, порожній рядок і рядок з одних пробілів. У тестах BL-50 окремо перевірити null, "" і пробіли.</t>
  </si>
  <si>
    <t>У F-130 вказано мінімум 5 голосів, тоді як у BL-20 — 3. Це різні очікувані результати для тієї самої моделі. Пропоную прийняти поріг 3 голоси, узгодивши його із замовником. Граничними значеннями будуть 2, 3 і 4 голоси.</t>
  </si>
  <si>
    <t>F-120 повторює загальний рейтинг, який уже описано у F-70 та частково F-10. Дубль краще вилучити, залишивши номер F-120 вільним і зафіксувавши це в журналі змін. Після вилучення перевірити посилання на F-70.</t>
  </si>
  <si>
    <t>F-100 посилається на BL-35, але такої вимоги в документі немає. Посилання потрібно замінити на наявну BL-30, щоб можна було простежити правило до тесту. Юніт-тести треба прив’язати до чинної BL-30.</t>
  </si>
  <si>
    <t>Перевірка даних через державні реєстри потребує інтеграцій, які для цього продукту не передбачені. Реально виконати локальну перевірку формату телефону, віку та довжини адреси. Зовнішні реєстри не можна вважати доступними для тестового стенда.</t>
  </si>
  <si>
    <t>Гарантувати розпізнавання будь-яких помилок, транслітерації та наміру користувача неможливо. Доцільно обмежити пошук точним збігом префікса без урахування регістру. Описаний префіксний пошук можна перевірити на різному регістрі.</t>
  </si>
  <si>
    <t>BL-80 не може працювати «без помилок» на абсолютно будь-яких аргументах. Треба визначити допустимі дані та очікувані винятки для некоректних значень. Для кожного некоректного аргументу потрібний визначений результат.</t>
  </si>
  <si>
    <t>Правило активності Register описане нечітко, тому незрозуміло, коли її можна натиснути. Кнопка має ставати активною тільки після заповнення полів і успішної перевірки паролів за F-30. Після правки буде однакова умова перевірки на різних екранах.</t>
  </si>
  <si>
    <t>Не визначено, що вважати окремим словом зі стоп-списку. Варто перевіряти межі слова за літерами Unicode: «spam!» повинно збігатися зі словом spam, а «spammer» — ні. Приклади збігів треба додати до контрольного списку.</t>
  </si>
  <si>
    <t>Сортування моделей з однаковим rating не задане, тому порядок може змінюватися між запусками. Після рейтингу потрібно сортувати за повною назвою моделі без урахування регістру. Правило має бути однаковим у BL-70 та в тест-плані.</t>
  </si>
  <si>
    <t>F-90 не дозволяє голосувати без коментаря, а BL-50 фактично пропускає порожнє значення. Модуль повинен відхиляти null, порожній рядок і рядок з одних пробілів. Після виправлення варто повторно звірити F-90.</t>
  </si>
  <si>
    <t>GUI-60 дозволяє 10 рядків, а F-140 — 5, тому неможливо правильно перевірити пагінацію. Потрібно встановити однаковий розмір сторінки — 5 моделей. Так зникне розбіжність між GUI та функціональною вимогою.</t>
  </si>
  <si>
    <t>Два різні правила мають ID GUI-40, через що посилання в тест-кейсах будуть неоднозначними. Перший ID треба зберегти, а другій вимозі надати GUI-45. Посилання на GUI-40 і GUI-45 після зміни слід перевірити.</t>
  </si>
  <si>
    <t>Гарантувати розпізнавання будь-яких помилок, транслітерації та наміру користувача неможливо. Доцільно обмежити пошук точним збігом префікса без урахування регістру. Обмеження пошуку потрібно винести у відомі обмеження продукту.</t>
  </si>
  <si>
    <t>BL-80 не може працювати «без помилок» на абсолютно будь-яких аргументах. Треба визначити допустимі дані та очікувані винятки для некоректних значень. Винятки варто описати однаково у вимогах і майбутніх тестах.</t>
  </si>
  <si>
    <t>Слова «зручно» і «не викликає труднощів» не мають критерію успіху. Варто перевіряти на 5 користувачах: щонайменше 4 мають завершити редагування за 3 хвилини.</t>
  </si>
  <si>
    <t>Правило активності Register описане нечітко, тому незрозуміло, коли її можна натиснути. Кнопка має ставати активною тільки після заповнення полів і успішної перевірки паролів за F-30. Зміна має бути узгоджена з F-30.</t>
  </si>
  <si>
    <t>D-10 посилається на документ АР-СТД-07, якого немає серед матеріалів. Краще перелічити обов’язкові розділи довідки в самій SRS, щоб вимогу можна було перевірити. Потрібен визначений обсяг довідки для приймання роботи.</t>
  </si>
  <si>
    <t>GUI-60 дозволяє 10 рядків, а F-140 — 5, тому неможливо правильно перевірити пагінацію. Потрібно встановити однаковий розмір сторінки — 5 моделей. Перед затвердженням закріпити єдине число 5.</t>
  </si>
  <si>
    <t>Сеанс не може бути водночас безстроковим і завершуватися через 30 хвилин. Пропоную визначити завершення після 30 хвилин бездіяльності або натискання Logout. Це потрібно погодити як правило безпеки сеансу.</t>
  </si>
  <si>
    <t>Два різні правила мають ID GUI-40, через що посилання в тест-кейсах будуть неоднозначними. Перший ID треба зберегти, а другій вимозі надати GUI-45. ID не можна перенумеровувати в інших вимогах.</t>
  </si>
  <si>
    <t>Правило зберігання паролів як хешів не має власного ID, тому на нього не можна посилатися з тестів. Пропоную додати ID S-15 без перенумерації інших вимог. Зміна не повинна зачіпати наявні ID.</t>
  </si>
  <si>
    <t>Час 50 мс навіть у мережі 2G не залежить повністю від застосунку і не може гарантуватися. Пропоную міряти p95 ≤ 3 с у визначеному середовищі на каталозі до 1000 моделей. Це реалістичніше з урахуванням роботи публічного demo.</t>
  </si>
  <si>
    <t>Слова «зручно» і «не викликає труднощів» не мають критерію успіху. Варто перевіряти на 5 користувачах: щонайменше 4 мають завершити редагування за 3 хвилини. Критерій має застосовуватися до однакових завдань учасників.</t>
  </si>
  <si>
    <t>Поняття «працювати швидко» не можна перевірити без чисел. Потрібні вимірювані умови: p95 відкриття моделі ≤ 2,5 с, підтвердження голосу ≤ 2 с за 30 вимірів. Перед виконанням замірів треба погодити умови стенда.</t>
  </si>
  <si>
    <t>Твердження «інтуїтивно для будь-якого» неможливо підтвердити одним тестом. Пропоную критерій: щонайменше 4 з 5 новачків знаходять модель і можливість проголосувати за 3 хвилини. Учасники повинні отримати однаковий сценарій.</t>
  </si>
  <si>
    <t>Обіцянку заблокувати будь-яку спробу несанкціонованого доступу неможливо перевірити вичерпно. Слід описати конкретні заборони гостю й правило блокування після 5 невдалих входів за 15 хвилин. Активні перевірки захищеності проводити лише на дозволеному стенді.</t>
  </si>
</sst>
</file>

<file path=xl/styles.xml><?xml version="1.0" encoding="utf-8"?>
<styleSheet xmlns="http://schemas.openxmlformats.org/spreadsheetml/2006/main" xmlns:mc="http://schemas.openxmlformats.org/markup-compatibility/2006" xmlns:x14ac="http://schemas.microsoft.com/office/spreadsheetml/2009/9/ac" mc:Ignorable="x14ac">
  <fonts count="3">
    <font>
      <sz val="11"/>
      <name val="Carlito"/>
    </font>
    <font>
      <b/>
      <sz val="11"/>
      <name val="Carlito"/>
    </font>
    <font>
      <sz val="11"/>
      <name val="Carlito"/>
    </font>
  </fonts>
  <fills count="4">
    <fill>
      <patternFill patternType="none"/>
    </fill>
    <fill>
      <patternFill patternType="gray125"/>
    </fill>
    <fill>
      <patternFill patternType="solid">
        <fgColor theme="0"/>
        <bgColor indexed="64"/>
      </patternFill>
    </fill>
    <fill>
      <patternFill patternType="solid">
        <fgColor theme="6" tint="0.79998168889431442"/>
        <bgColor indexed="64"/>
      </patternFill>
    </fill>
  </fills>
  <borders count="3">
    <border>
      <left/>
      <right/>
      <top/>
      <bottom/>
      <diagonal/>
    </border>
    <border>
      <left/>
      <right/>
      <top/>
      <bottom/>
      <diagonal/>
    </border>
    <border>
      <left style="thin">
        <color indexed="64"/>
      </left>
      <right style="thin">
        <color indexed="64"/>
      </right>
      <top style="thin">
        <color indexed="64"/>
      </top>
      <bottom style="thin">
        <color indexed="64"/>
      </bottom>
      <diagonal/>
    </border>
  </borders>
  <cellStyleXfs count="8">
    <xf numFmtId="0" fontId="0" fillId="0" borderId="0"/>
    <xf numFmtId="0" fontId="2" fillId="0" borderId="0"/>
    <xf numFmtId="0" fontId="2" fillId="0" borderId="1"/>
    <xf numFmtId="0" fontId="2" fillId="0" borderId="1"/>
    <xf numFmtId="0" fontId="2" fillId="0" borderId="1"/>
    <xf numFmtId="0" fontId="2" fillId="0" borderId="1"/>
    <xf numFmtId="0" fontId="2" fillId="0" borderId="1"/>
    <xf numFmtId="0" fontId="2" fillId="0" borderId="1"/>
  </cellStyleXfs>
  <cellXfs count="12">
    <xf numFmtId="0" fontId="0" fillId="0" borderId="0" xfId="0"/>
    <xf numFmtId="0" fontId="0" fillId="0" borderId="0" xfId="1" applyNumberFormat="1" applyFont="1" applyFill="1" applyBorder="1" applyAlignment="1">
      <alignment vertical="top" wrapText="1"/>
    </xf>
    <xf numFmtId="0" fontId="2" fillId="2" borderId="2" xfId="1" applyNumberFormat="1" applyFont="1" applyFill="1" applyBorder="1" applyAlignment="1">
      <alignment vertical="top" wrapText="1"/>
    </xf>
    <xf numFmtId="0" fontId="2" fillId="2" borderId="0" xfId="0" applyFont="1" applyFill="1"/>
    <xf numFmtId="0" fontId="0" fillId="0" borderId="2" xfId="0" applyBorder="1"/>
    <xf numFmtId="0" fontId="0" fillId="0" borderId="1" xfId="3" applyNumberFormat="1" applyFont="1" applyFill="1" applyBorder="1" applyAlignment="1">
      <alignment vertical="top" wrapText="1"/>
    </xf>
    <xf numFmtId="0" fontId="1" fillId="3" borderId="0" xfId="1" applyNumberFormat="1" applyFont="1" applyFill="1" applyBorder="1" applyAlignment="1">
      <alignment vertical="center" wrapText="1"/>
    </xf>
    <xf numFmtId="0" fontId="0" fillId="0" borderId="1" xfId="3" applyNumberFormat="1" applyFont="1" applyFill="1" applyBorder="1" applyAlignment="1">
      <alignment vertical="top" wrapText="1"/>
    </xf>
    <xf numFmtId="14" fontId="0" fillId="0" borderId="0" xfId="1" applyNumberFormat="1" applyFont="1" applyFill="1" applyBorder="1" applyAlignment="1">
      <alignment horizontal="center" vertical="center" wrapText="1"/>
    </xf>
    <xf numFmtId="0" fontId="0" fillId="0" borderId="1" xfId="3" applyNumberFormat="1" applyFont="1" applyFill="1" applyBorder="1" applyAlignment="1">
      <alignment vertical="top" wrapText="1"/>
    </xf>
    <xf numFmtId="0" fontId="1" fillId="3" borderId="2" xfId="1" applyNumberFormat="1" applyFont="1" applyFill="1" applyBorder="1" applyAlignment="1">
      <alignment vertical="center" wrapText="1"/>
    </xf>
    <xf numFmtId="0" fontId="0" fillId="0" borderId="1" xfId="3" applyNumberFormat="1" applyFont="1" applyFill="1" applyBorder="1" applyAlignment="1">
      <alignment vertical="top" wrapText="1"/>
    </xf>
  </cellXfs>
  <cellStyles count="8">
    <cellStyle name="Normal" xfId="1"/>
    <cellStyle name="Normal 2" xfId="3"/>
    <cellStyle name="Обычный" xfId="0" builtinId="0"/>
    <cellStyle name="Обычный 2" xfId="2"/>
    <cellStyle name="Обычный 3" xfId="4"/>
    <cellStyle name="Обычный 4" xfId="5"/>
    <cellStyle name="Обычный 5" xfId="6"/>
    <cellStyle name="Обычный 6" xfId="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6"/>
  <sheetViews>
    <sheetView tabSelected="1" topLeftCell="D1" workbookViewId="0">
      <pane ySplit="1" topLeftCell="A2" activePane="bottomLeft" state="frozen"/>
      <selection pane="bottomLeft" activeCell="J4" sqref="J4"/>
    </sheetView>
  </sheetViews>
  <sheetFormatPr defaultRowHeight="14.25"/>
  <cols>
    <col min="1" max="1" width="6" customWidth="1"/>
    <col min="2" max="2" width="18" customWidth="1"/>
    <col min="3" max="3" width="21" customWidth="1"/>
    <col min="4" max="4" width="24" customWidth="1"/>
    <col min="5" max="5" width="63" customWidth="1"/>
    <col min="6" max="6" width="66" customWidth="1"/>
    <col min="7" max="7" width="27" customWidth="1"/>
    <col min="8" max="8" width="19" customWidth="1"/>
    <col min="9" max="9" width="15" customWidth="1"/>
  </cols>
  <sheetData>
    <row r="1" spans="1:9" ht="30" customHeight="1">
      <c r="A1" s="10" t="s">
        <v>0</v>
      </c>
      <c r="B1" s="10" t="s">
        <v>1</v>
      </c>
      <c r="C1" s="10" t="s">
        <v>2</v>
      </c>
      <c r="D1" s="10" t="s">
        <v>3</v>
      </c>
      <c r="E1" s="10" t="s">
        <v>4</v>
      </c>
      <c r="F1" s="10" t="s">
        <v>5</v>
      </c>
      <c r="G1" s="10" t="s">
        <v>6</v>
      </c>
      <c r="H1" s="10" t="s">
        <v>7</v>
      </c>
      <c r="I1" s="10" t="s">
        <v>8</v>
      </c>
    </row>
    <row r="2" spans="1:9" ht="78" customHeight="1">
      <c r="A2" s="2">
        <v>1</v>
      </c>
      <c r="B2" s="2" t="s">
        <v>9</v>
      </c>
      <c r="C2" s="2" t="s">
        <v>10</v>
      </c>
      <c r="D2" s="2" t="s">
        <v>11</v>
      </c>
      <c r="E2" s="2" t="s">
        <v>12</v>
      </c>
      <c r="F2" s="2" t="s">
        <v>13</v>
      </c>
      <c r="G2" s="2" t="s">
        <v>14</v>
      </c>
      <c r="H2" s="2" t="s">
        <v>15</v>
      </c>
      <c r="I2" s="2" t="s">
        <v>16</v>
      </c>
    </row>
    <row r="3" spans="1:9" ht="78" customHeight="1">
      <c r="A3" s="2">
        <v>2</v>
      </c>
      <c r="B3" s="2" t="s">
        <v>17</v>
      </c>
      <c r="C3" s="2" t="s">
        <v>10</v>
      </c>
      <c r="D3" s="2" t="s">
        <v>18</v>
      </c>
      <c r="E3" s="2" t="s">
        <v>19</v>
      </c>
      <c r="F3" s="2" t="s">
        <v>20</v>
      </c>
      <c r="G3" s="2" t="s">
        <v>21</v>
      </c>
      <c r="H3" s="2" t="s">
        <v>15</v>
      </c>
      <c r="I3" s="2" t="s">
        <v>22</v>
      </c>
    </row>
    <row r="4" spans="1:9" ht="78" customHeight="1">
      <c r="A4" s="2">
        <v>3</v>
      </c>
      <c r="B4" s="2" t="s">
        <v>23</v>
      </c>
      <c r="C4" s="2" t="s">
        <v>10</v>
      </c>
      <c r="D4" s="2" t="s">
        <v>11</v>
      </c>
      <c r="E4" s="2" t="s">
        <v>24</v>
      </c>
      <c r="F4" s="2" t="s">
        <v>25</v>
      </c>
      <c r="G4" s="2" t="s">
        <v>26</v>
      </c>
      <c r="H4" s="2" t="s">
        <v>15</v>
      </c>
      <c r="I4" s="2" t="s">
        <v>27</v>
      </c>
    </row>
    <row r="5" spans="1:9" ht="78" customHeight="1">
      <c r="A5" s="2">
        <v>4</v>
      </c>
      <c r="B5" s="2" t="s">
        <v>28</v>
      </c>
      <c r="C5" s="2" t="s">
        <v>10</v>
      </c>
      <c r="D5" s="2" t="s">
        <v>29</v>
      </c>
      <c r="E5" s="2" t="s">
        <v>30</v>
      </c>
      <c r="F5" s="2" t="s">
        <v>31</v>
      </c>
      <c r="G5" s="2" t="s">
        <v>32</v>
      </c>
      <c r="H5" s="2" t="s">
        <v>15</v>
      </c>
      <c r="I5" s="2" t="s">
        <v>33</v>
      </c>
    </row>
    <row r="6" spans="1:9" ht="78" customHeight="1">
      <c r="A6" s="2">
        <v>5</v>
      </c>
      <c r="B6" s="2" t="s">
        <v>34</v>
      </c>
      <c r="C6" s="2" t="s">
        <v>35</v>
      </c>
      <c r="D6" s="2" t="s">
        <v>36</v>
      </c>
      <c r="E6" s="2" t="s">
        <v>37</v>
      </c>
      <c r="F6" s="2" t="s">
        <v>38</v>
      </c>
      <c r="G6" s="2" t="s">
        <v>14</v>
      </c>
      <c r="H6" s="2" t="s">
        <v>15</v>
      </c>
      <c r="I6" s="2" t="s">
        <v>39</v>
      </c>
    </row>
    <row r="7" spans="1:9" ht="78" customHeight="1">
      <c r="A7" s="2">
        <v>6</v>
      </c>
      <c r="B7" s="2" t="s">
        <v>40</v>
      </c>
      <c r="C7" s="2" t="s">
        <v>35</v>
      </c>
      <c r="D7" s="2" t="s">
        <v>36</v>
      </c>
      <c r="E7" s="2" t="s">
        <v>41</v>
      </c>
      <c r="F7" s="2" t="s">
        <v>42</v>
      </c>
      <c r="G7" s="2" t="s">
        <v>21</v>
      </c>
      <c r="H7" s="2" t="s">
        <v>15</v>
      </c>
      <c r="I7" s="2" t="s">
        <v>43</v>
      </c>
    </row>
    <row r="8" spans="1:9" ht="78" customHeight="1">
      <c r="A8" s="2">
        <v>7</v>
      </c>
      <c r="B8" s="2" t="s">
        <v>44</v>
      </c>
      <c r="C8" s="2" t="s">
        <v>35</v>
      </c>
      <c r="D8" s="2" t="s">
        <v>11</v>
      </c>
      <c r="E8" s="2" t="s">
        <v>45</v>
      </c>
      <c r="F8" s="2" t="s">
        <v>46</v>
      </c>
      <c r="G8" s="2" t="s">
        <v>26</v>
      </c>
      <c r="H8" s="2" t="s">
        <v>15</v>
      </c>
      <c r="I8" s="2" t="s">
        <v>47</v>
      </c>
    </row>
    <row r="9" spans="1:9" ht="78" customHeight="1">
      <c r="A9" s="2">
        <v>8</v>
      </c>
      <c r="B9" s="2" t="s">
        <v>48</v>
      </c>
      <c r="C9" s="2" t="s">
        <v>35</v>
      </c>
      <c r="D9" s="2" t="s">
        <v>49</v>
      </c>
      <c r="E9" s="2" t="s">
        <v>50</v>
      </c>
      <c r="F9" s="2" t="s">
        <v>51</v>
      </c>
      <c r="G9" s="2" t="s">
        <v>32</v>
      </c>
      <c r="H9" s="2" t="s">
        <v>15</v>
      </c>
      <c r="I9" s="2" t="s">
        <v>52</v>
      </c>
    </row>
    <row r="10" spans="1:9" ht="78" customHeight="1">
      <c r="A10" s="2">
        <v>9</v>
      </c>
      <c r="B10" s="2" t="s">
        <v>53</v>
      </c>
      <c r="C10" s="2" t="s">
        <v>54</v>
      </c>
      <c r="D10" s="2" t="s">
        <v>55</v>
      </c>
      <c r="E10" s="2" t="s">
        <v>56</v>
      </c>
      <c r="F10" s="2" t="s">
        <v>57</v>
      </c>
      <c r="G10" s="2" t="s">
        <v>14</v>
      </c>
      <c r="H10" s="2" t="s">
        <v>15</v>
      </c>
      <c r="I10" s="2" t="s">
        <v>58</v>
      </c>
    </row>
    <row r="11" spans="1:9" ht="78" customHeight="1">
      <c r="A11" s="2">
        <v>10</v>
      </c>
      <c r="B11" s="2" t="s">
        <v>59</v>
      </c>
      <c r="C11" s="2" t="s">
        <v>54</v>
      </c>
      <c r="D11" s="2" t="s">
        <v>55</v>
      </c>
      <c r="E11" s="2" t="s">
        <v>60</v>
      </c>
      <c r="F11" s="2" t="s">
        <v>61</v>
      </c>
      <c r="G11" s="2" t="s">
        <v>21</v>
      </c>
      <c r="H11" s="2" t="s">
        <v>15</v>
      </c>
      <c r="I11" s="2" t="s">
        <v>62</v>
      </c>
    </row>
    <row r="12" spans="1:9" ht="78" customHeight="1">
      <c r="A12" s="2">
        <v>11</v>
      </c>
      <c r="B12" s="2" t="s">
        <v>63</v>
      </c>
      <c r="C12" s="2" t="s">
        <v>54</v>
      </c>
      <c r="D12" s="2" t="s">
        <v>55</v>
      </c>
      <c r="E12" s="2" t="s">
        <v>64</v>
      </c>
      <c r="F12" s="2" t="s">
        <v>65</v>
      </c>
      <c r="G12" s="2" t="s">
        <v>26</v>
      </c>
      <c r="H12" s="2" t="s">
        <v>15</v>
      </c>
      <c r="I12" s="2" t="s">
        <v>66</v>
      </c>
    </row>
    <row r="13" spans="1:9" ht="78" customHeight="1">
      <c r="A13" s="2">
        <v>12</v>
      </c>
      <c r="B13" s="2" t="s">
        <v>67</v>
      </c>
      <c r="C13" s="2" t="s">
        <v>54</v>
      </c>
      <c r="D13" s="2" t="s">
        <v>55</v>
      </c>
      <c r="E13" s="2" t="s">
        <v>68</v>
      </c>
      <c r="F13" s="2" t="s">
        <v>69</v>
      </c>
      <c r="G13" s="2" t="s">
        <v>32</v>
      </c>
      <c r="H13" s="2" t="s">
        <v>15</v>
      </c>
      <c r="I13" s="2" t="s">
        <v>70</v>
      </c>
    </row>
    <row r="14" spans="1:9" ht="78" customHeight="1">
      <c r="A14" s="2">
        <v>13</v>
      </c>
      <c r="B14" s="2" t="s">
        <v>71</v>
      </c>
      <c r="C14" s="2" t="s">
        <v>54</v>
      </c>
      <c r="D14" s="2" t="s">
        <v>72</v>
      </c>
      <c r="E14" s="2" t="s">
        <v>73</v>
      </c>
      <c r="F14" s="2" t="s">
        <v>74</v>
      </c>
      <c r="G14" s="2" t="s">
        <v>14</v>
      </c>
      <c r="H14" s="2" t="s">
        <v>15</v>
      </c>
      <c r="I14" s="2" t="s">
        <v>75</v>
      </c>
    </row>
    <row r="15" spans="1:9" ht="78" customHeight="1">
      <c r="A15" s="2">
        <v>14</v>
      </c>
      <c r="B15" s="2" t="s">
        <v>76</v>
      </c>
      <c r="C15" s="2" t="s">
        <v>77</v>
      </c>
      <c r="D15" s="2" t="s">
        <v>78</v>
      </c>
      <c r="E15" s="2" t="s">
        <v>79</v>
      </c>
      <c r="F15" s="2" t="s">
        <v>80</v>
      </c>
      <c r="G15" s="2" t="s">
        <v>21</v>
      </c>
      <c r="H15" s="2" t="s">
        <v>15</v>
      </c>
      <c r="I15" s="2" t="s">
        <v>81</v>
      </c>
    </row>
    <row r="16" spans="1:9" ht="78" customHeight="1">
      <c r="A16" s="2">
        <v>15</v>
      </c>
      <c r="B16" s="2" t="s">
        <v>82</v>
      </c>
      <c r="C16" s="2" t="s">
        <v>77</v>
      </c>
      <c r="D16" s="2" t="s">
        <v>55</v>
      </c>
      <c r="E16" s="2" t="s">
        <v>83</v>
      </c>
      <c r="F16" s="2" t="s">
        <v>84</v>
      </c>
      <c r="G16" s="2" t="s">
        <v>26</v>
      </c>
      <c r="H16" s="2" t="s">
        <v>15</v>
      </c>
      <c r="I16" s="2" t="s">
        <v>85</v>
      </c>
    </row>
    <row r="17" spans="1:9" ht="78" customHeight="1">
      <c r="A17" s="2">
        <v>16</v>
      </c>
      <c r="B17" s="2" t="s">
        <v>86</v>
      </c>
      <c r="C17" s="2" t="s">
        <v>77</v>
      </c>
      <c r="D17" s="2" t="s">
        <v>87</v>
      </c>
      <c r="E17" s="2" t="s">
        <v>88</v>
      </c>
      <c r="F17" s="2" t="s">
        <v>89</v>
      </c>
      <c r="G17" s="2" t="s">
        <v>32</v>
      </c>
      <c r="H17" s="2" t="s">
        <v>15</v>
      </c>
      <c r="I17" s="2" t="s">
        <v>90</v>
      </c>
    </row>
    <row r="18" spans="1:9" ht="78" customHeight="1">
      <c r="A18" s="2">
        <v>17</v>
      </c>
      <c r="B18" s="2" t="s">
        <v>91</v>
      </c>
      <c r="C18" s="2" t="s">
        <v>77</v>
      </c>
      <c r="D18" s="2" t="s">
        <v>78</v>
      </c>
      <c r="E18" s="2" t="s">
        <v>92</v>
      </c>
      <c r="F18" s="2" t="s">
        <v>93</v>
      </c>
      <c r="G18" s="2" t="s">
        <v>14</v>
      </c>
      <c r="H18" s="2" t="s">
        <v>15</v>
      </c>
      <c r="I18" s="2" t="s">
        <v>94</v>
      </c>
    </row>
    <row r="19" spans="1:9" ht="78" customHeight="1">
      <c r="A19" s="2">
        <v>18</v>
      </c>
      <c r="B19" s="2" t="s">
        <v>95</v>
      </c>
      <c r="C19" s="2" t="s">
        <v>96</v>
      </c>
      <c r="D19" s="2" t="s">
        <v>72</v>
      </c>
      <c r="E19" s="2" t="s">
        <v>97</v>
      </c>
      <c r="F19" s="2" t="s">
        <v>98</v>
      </c>
      <c r="G19" s="2" t="s">
        <v>21</v>
      </c>
      <c r="H19" s="2" t="s">
        <v>15</v>
      </c>
      <c r="I19" s="2" t="s">
        <v>99</v>
      </c>
    </row>
    <row r="20" spans="1:9" ht="78" customHeight="1">
      <c r="A20" s="2">
        <v>19</v>
      </c>
      <c r="B20" s="2" t="s">
        <v>100</v>
      </c>
      <c r="C20" s="2" t="s">
        <v>96</v>
      </c>
      <c r="D20" s="2" t="s">
        <v>72</v>
      </c>
      <c r="E20" s="2" t="s">
        <v>101</v>
      </c>
      <c r="F20" s="2" t="s">
        <v>102</v>
      </c>
      <c r="G20" s="2" t="s">
        <v>26</v>
      </c>
      <c r="H20" s="2" t="s">
        <v>15</v>
      </c>
      <c r="I20" s="2" t="s">
        <v>103</v>
      </c>
    </row>
    <row r="21" spans="1:9" ht="78" customHeight="1">
      <c r="A21" s="2">
        <v>20</v>
      </c>
      <c r="B21" s="2" t="s">
        <v>28</v>
      </c>
      <c r="C21" s="2" t="s">
        <v>96</v>
      </c>
      <c r="D21" s="2" t="s">
        <v>72</v>
      </c>
      <c r="E21" s="2" t="s">
        <v>104</v>
      </c>
      <c r="F21" s="2" t="s">
        <v>105</v>
      </c>
      <c r="G21" s="2" t="s">
        <v>32</v>
      </c>
      <c r="H21" s="2" t="s">
        <v>15</v>
      </c>
      <c r="I21" s="2" t="s">
        <v>106</v>
      </c>
    </row>
    <row r="22" spans="1:9" ht="78" customHeight="1">
      <c r="A22" s="2">
        <v>21</v>
      </c>
      <c r="B22" s="2" t="s">
        <v>107</v>
      </c>
      <c r="C22" s="2" t="s">
        <v>96</v>
      </c>
      <c r="D22" s="2" t="s">
        <v>72</v>
      </c>
      <c r="E22" s="2" t="s">
        <v>108</v>
      </c>
      <c r="F22" s="2" t="s">
        <v>109</v>
      </c>
      <c r="G22" s="2" t="s">
        <v>14</v>
      </c>
      <c r="H22" s="2" t="s">
        <v>15</v>
      </c>
      <c r="I22" s="2" t="s">
        <v>110</v>
      </c>
    </row>
    <row r="23" spans="1:9" ht="78" customHeight="1">
      <c r="A23" s="2">
        <v>22</v>
      </c>
      <c r="B23" s="2" t="s">
        <v>111</v>
      </c>
      <c r="C23" s="2" t="s">
        <v>112</v>
      </c>
      <c r="D23" s="2" t="s">
        <v>113</v>
      </c>
      <c r="E23" s="2" t="s">
        <v>114</v>
      </c>
      <c r="F23" s="2" t="s">
        <v>115</v>
      </c>
      <c r="G23" s="2" t="s">
        <v>21</v>
      </c>
      <c r="H23" s="2" t="s">
        <v>15</v>
      </c>
      <c r="I23" s="2" t="s">
        <v>116</v>
      </c>
    </row>
    <row r="24" spans="1:9" ht="78" customHeight="1">
      <c r="A24" s="2">
        <v>23</v>
      </c>
      <c r="B24" s="2" t="s">
        <v>117</v>
      </c>
      <c r="C24" s="2" t="s">
        <v>112</v>
      </c>
      <c r="D24" s="2" t="s">
        <v>113</v>
      </c>
      <c r="E24" s="2" t="s">
        <v>118</v>
      </c>
      <c r="F24" s="2" t="s">
        <v>119</v>
      </c>
      <c r="G24" s="2" t="s">
        <v>26</v>
      </c>
      <c r="H24" s="2" t="s">
        <v>15</v>
      </c>
      <c r="I24" s="2" t="s">
        <v>120</v>
      </c>
    </row>
    <row r="25" spans="1:9" ht="78" customHeight="1">
      <c r="A25" s="2">
        <v>24</v>
      </c>
      <c r="B25" s="2" t="s">
        <v>121</v>
      </c>
      <c r="C25" s="2" t="s">
        <v>112</v>
      </c>
      <c r="D25" s="2" t="s">
        <v>113</v>
      </c>
      <c r="E25" s="2" t="s">
        <v>122</v>
      </c>
      <c r="F25" s="2" t="s">
        <v>123</v>
      </c>
      <c r="G25" s="2" t="s">
        <v>32</v>
      </c>
      <c r="H25" s="2" t="s">
        <v>15</v>
      </c>
      <c r="I25" s="2" t="s">
        <v>124</v>
      </c>
    </row>
    <row r="26" spans="1:9" ht="78" customHeight="1">
      <c r="A26" s="2">
        <v>25</v>
      </c>
      <c r="B26" s="2" t="s">
        <v>125</v>
      </c>
      <c r="C26" s="2" t="s">
        <v>112</v>
      </c>
      <c r="D26" s="2" t="s">
        <v>113</v>
      </c>
      <c r="E26" s="2" t="s">
        <v>126</v>
      </c>
      <c r="F26" s="2" t="s">
        <v>127</v>
      </c>
      <c r="G26" s="2" t="s">
        <v>14</v>
      </c>
      <c r="H26" s="2" t="s">
        <v>15</v>
      </c>
      <c r="I26" s="2" t="s">
        <v>128</v>
      </c>
    </row>
  </sheetData>
  <dataValidations count="1">
    <dataValidation type="list" sqref="H2:H26">
      <formula1>"прийнято,відхилено після обговорення,потребує рішення"</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
  <sheetViews>
    <sheetView workbookViewId="0">
      <pane ySplit="1" topLeftCell="A2" activePane="bottomLeft" state="frozen"/>
      <selection pane="bottomLeft" sqref="A1:D1"/>
    </sheetView>
  </sheetViews>
  <sheetFormatPr defaultRowHeight="14.25"/>
  <cols>
    <col min="1" max="1" width="35" style="3" customWidth="1"/>
    <col min="2" max="3" width="30" style="3" customWidth="1"/>
    <col min="4" max="4" width="64" style="3" customWidth="1"/>
    <col min="5" max="16384" width="9" style="3"/>
  </cols>
  <sheetData>
    <row r="1" spans="1:4" ht="30" customHeight="1">
      <c r="A1" s="10" t="s">
        <v>129</v>
      </c>
      <c r="B1" s="10" t="s">
        <v>130</v>
      </c>
      <c r="C1" s="10" t="s">
        <v>131</v>
      </c>
      <c r="D1" s="10" t="s">
        <v>132</v>
      </c>
    </row>
    <row r="2" spans="1:4" ht="39.950000000000003" customHeight="1">
      <c r="A2" s="2" t="s">
        <v>133</v>
      </c>
      <c r="B2" s="2" t="s">
        <v>26</v>
      </c>
      <c r="C2" s="2" t="s">
        <v>32</v>
      </c>
      <c r="D2" s="2" t="s">
        <v>134</v>
      </c>
    </row>
    <row r="3" spans="1:4" ht="39.950000000000003" customHeight="1">
      <c r="A3" s="2" t="s">
        <v>135</v>
      </c>
      <c r="B3" s="2" t="s">
        <v>21</v>
      </c>
      <c r="C3" s="2" t="s">
        <v>32</v>
      </c>
      <c r="D3" s="2" t="s">
        <v>136</v>
      </c>
    </row>
    <row r="4" spans="1:4" ht="39.950000000000003" customHeight="1">
      <c r="A4" s="2" t="s">
        <v>137</v>
      </c>
      <c r="B4" s="2" t="s">
        <v>14</v>
      </c>
      <c r="C4" s="2" t="s">
        <v>21</v>
      </c>
      <c r="D4" s="2" t="s">
        <v>138</v>
      </c>
    </row>
    <row r="5" spans="1:4" ht="39.950000000000003" customHeight="1">
      <c r="A5" s="2" t="s">
        <v>139</v>
      </c>
      <c r="B5" s="2" t="s">
        <v>26</v>
      </c>
      <c r="C5" s="2" t="s">
        <v>32</v>
      </c>
      <c r="D5" s="2" t="s">
        <v>140</v>
      </c>
    </row>
    <row r="6" spans="1:4" ht="39.950000000000003" customHeight="1">
      <c r="A6" s="2" t="s">
        <v>141</v>
      </c>
      <c r="B6" s="2" t="s">
        <v>21</v>
      </c>
      <c r="C6" s="2" t="s">
        <v>26</v>
      </c>
      <c r="D6" s="2" t="s">
        <v>142</v>
      </c>
    </row>
    <row r="7" spans="1:4" ht="39.950000000000003" customHeight="1">
      <c r="A7" s="2" t="s">
        <v>143</v>
      </c>
      <c r="B7" s="2" t="s">
        <v>14</v>
      </c>
      <c r="C7" s="2" t="s">
        <v>32</v>
      </c>
      <c r="D7" s="2" t="s">
        <v>144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pane ySplit="1" topLeftCell="A2" activePane="bottomLeft" state="frozen"/>
      <selection pane="bottomLeft" sqref="A1:F1"/>
    </sheetView>
  </sheetViews>
  <sheetFormatPr defaultRowHeight="14.25"/>
  <cols>
    <col min="1" max="1" width="10" customWidth="1"/>
    <col min="2" max="2" width="25" customWidth="1"/>
    <col min="3" max="3" width="31" customWidth="1"/>
    <col min="4" max="4" width="60" customWidth="1"/>
    <col min="5" max="5" width="65" customWidth="1"/>
    <col min="6" max="6" width="30" customWidth="1"/>
  </cols>
  <sheetData>
    <row r="1" spans="1:6" ht="30" customHeight="1">
      <c r="A1" s="10" t="s">
        <v>0</v>
      </c>
      <c r="B1" s="10" t="s">
        <v>145</v>
      </c>
      <c r="C1" s="10" t="s">
        <v>146</v>
      </c>
      <c r="D1" s="10" t="s">
        <v>147</v>
      </c>
      <c r="E1" s="10" t="s">
        <v>148</v>
      </c>
      <c r="F1" s="10" t="s">
        <v>7</v>
      </c>
    </row>
    <row r="2" spans="1:6" ht="68.099999999999994" customHeight="1">
      <c r="A2" s="2" t="s">
        <v>149</v>
      </c>
      <c r="B2" s="2" t="s">
        <v>150</v>
      </c>
      <c r="C2" s="2" t="s">
        <v>151</v>
      </c>
      <c r="D2" s="2" t="s">
        <v>152</v>
      </c>
      <c r="E2" s="2" t="s">
        <v>153</v>
      </c>
      <c r="F2" s="2" t="s">
        <v>154</v>
      </c>
    </row>
    <row r="3" spans="1:6" ht="68.099999999999994" customHeight="1">
      <c r="A3" s="2" t="s">
        <v>155</v>
      </c>
      <c r="B3" s="2" t="s">
        <v>156</v>
      </c>
      <c r="C3" s="2" t="s">
        <v>157</v>
      </c>
      <c r="D3" s="2" t="s">
        <v>158</v>
      </c>
      <c r="E3" s="2" t="s">
        <v>159</v>
      </c>
      <c r="F3" s="2" t="s">
        <v>154</v>
      </c>
    </row>
    <row r="4" spans="1:6" ht="68.099999999999994" customHeight="1">
      <c r="A4" s="2" t="s">
        <v>160</v>
      </c>
      <c r="B4" s="2" t="s">
        <v>17</v>
      </c>
      <c r="C4" s="2" t="s">
        <v>161</v>
      </c>
      <c r="D4" s="2" t="s">
        <v>162</v>
      </c>
      <c r="E4" s="2" t="s">
        <v>163</v>
      </c>
      <c r="F4" s="2" t="s">
        <v>154</v>
      </c>
    </row>
    <row r="5" spans="1:6" ht="68.099999999999994" customHeight="1">
      <c r="A5" s="2" t="s">
        <v>164</v>
      </c>
      <c r="B5" s="2" t="s">
        <v>165</v>
      </c>
      <c r="C5" s="2" t="s">
        <v>166</v>
      </c>
      <c r="D5" s="2" t="s">
        <v>167</v>
      </c>
      <c r="E5" s="2" t="s">
        <v>168</v>
      </c>
      <c r="F5" s="2" t="s">
        <v>154</v>
      </c>
    </row>
    <row r="6" spans="1:6" ht="68.099999999999994" customHeight="1">
      <c r="A6" s="2" t="s">
        <v>169</v>
      </c>
      <c r="B6" s="2" t="s">
        <v>170</v>
      </c>
      <c r="C6" s="2" t="s">
        <v>171</v>
      </c>
      <c r="D6" s="2" t="s">
        <v>172</v>
      </c>
      <c r="E6" s="2" t="s">
        <v>173</v>
      </c>
      <c r="F6" s="2" t="s">
        <v>154</v>
      </c>
    </row>
    <row r="7" spans="1:6" ht="68.099999999999994" customHeight="1">
      <c r="A7" s="2" t="s">
        <v>174</v>
      </c>
      <c r="B7" s="2" t="s">
        <v>86</v>
      </c>
      <c r="C7" s="2" t="s">
        <v>175</v>
      </c>
      <c r="D7" s="2" t="s">
        <v>176</v>
      </c>
      <c r="E7" s="2" t="s">
        <v>177</v>
      </c>
      <c r="F7" s="2" t="s">
        <v>178</v>
      </c>
    </row>
    <row r="8" spans="1:6" ht="68.099999999999994" customHeight="1">
      <c r="A8" s="2" t="s">
        <v>179</v>
      </c>
      <c r="B8" s="2" t="s">
        <v>180</v>
      </c>
      <c r="C8" s="2" t="s">
        <v>181</v>
      </c>
      <c r="D8" s="2" t="s">
        <v>182</v>
      </c>
      <c r="E8" s="2" t="s">
        <v>183</v>
      </c>
      <c r="F8" s="2" t="s">
        <v>178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pane ySplit="1" topLeftCell="A2" activePane="bottomLeft" state="frozen"/>
      <selection pane="bottomLeft" activeCell="C18" sqref="C18"/>
    </sheetView>
  </sheetViews>
  <sheetFormatPr defaultRowHeight="14.25"/>
  <cols>
    <col min="1" max="1" width="28" customWidth="1"/>
    <col min="2" max="2" width="23" customWidth="1"/>
    <col min="3" max="3" width="17" customWidth="1"/>
    <col min="4" max="4" width="23" customWidth="1"/>
  </cols>
  <sheetData>
    <row r="1" spans="1:4" ht="30" customHeight="1">
      <c r="A1" s="10" t="s">
        <v>2</v>
      </c>
      <c r="B1" s="10" t="s">
        <v>184</v>
      </c>
      <c r="C1" s="10" t="s">
        <v>185</v>
      </c>
      <c r="D1" s="10" t="s">
        <v>186</v>
      </c>
    </row>
    <row r="2" spans="1:4" ht="33.950000000000003" customHeight="1">
      <c r="A2" s="2" t="s">
        <v>10</v>
      </c>
      <c r="B2" s="2">
        <f>COUNTIF(Реєстр!$C$2:$C$26,A2)</f>
        <v>4</v>
      </c>
      <c r="C2" s="2">
        <v>2</v>
      </c>
      <c r="D2" s="2" t="str">
        <f t="shared" ref="D2:D7" si="0">IF(B2&gt;=C2,"OK","Замало")</f>
        <v>OK</v>
      </c>
    </row>
    <row r="3" spans="1:4" ht="33.950000000000003" customHeight="1">
      <c r="A3" s="2" t="s">
        <v>35</v>
      </c>
      <c r="B3" s="2">
        <f>COUNTIF(Реєстр!$C$2:$C$26,A3)</f>
        <v>4</v>
      </c>
      <c r="C3" s="2">
        <v>2</v>
      </c>
      <c r="D3" s="2" t="str">
        <f t="shared" si="0"/>
        <v>OK</v>
      </c>
    </row>
    <row r="4" spans="1:4" ht="33.950000000000003" customHeight="1">
      <c r="A4" s="2" t="s">
        <v>54</v>
      </c>
      <c r="B4" s="2">
        <f>COUNTIF(Реєстр!$C$2:$C$26,A4)</f>
        <v>5</v>
      </c>
      <c r="C4" s="2">
        <v>2</v>
      </c>
      <c r="D4" s="2" t="str">
        <f t="shared" si="0"/>
        <v>OK</v>
      </c>
    </row>
    <row r="5" spans="1:4" ht="33.950000000000003" customHeight="1">
      <c r="A5" s="2" t="s">
        <v>77</v>
      </c>
      <c r="B5" s="2">
        <f>COUNTIF(Реєстр!$C$2:$C$26,A5)</f>
        <v>4</v>
      </c>
      <c r="C5" s="2">
        <v>2</v>
      </c>
      <c r="D5" s="2" t="str">
        <f t="shared" si="0"/>
        <v>OK</v>
      </c>
    </row>
    <row r="6" spans="1:4" ht="33.950000000000003" customHeight="1">
      <c r="A6" s="2" t="s">
        <v>96</v>
      </c>
      <c r="B6" s="2">
        <f>COUNTIF(Реєстр!$C$2:$C$26,A6)</f>
        <v>4</v>
      </c>
      <c r="C6" s="2">
        <v>2</v>
      </c>
      <c r="D6" s="2" t="str">
        <f t="shared" si="0"/>
        <v>OK</v>
      </c>
    </row>
    <row r="7" spans="1:4" ht="33.950000000000003" customHeight="1">
      <c r="A7" s="2" t="s">
        <v>112</v>
      </c>
      <c r="B7" s="2">
        <f>COUNTIF(Реєстр!$C$2:$C$26,A7)</f>
        <v>4</v>
      </c>
      <c r="C7" s="2">
        <v>2</v>
      </c>
      <c r="D7" s="2" t="str">
        <f t="shared" si="0"/>
        <v>OK</v>
      </c>
    </row>
    <row r="9" spans="1:4">
      <c r="A9" s="4" t="s">
        <v>187</v>
      </c>
      <c r="B9" s="4">
        <f>COUNT(Реєстр!A2:A26)</f>
        <v>25</v>
      </c>
    </row>
    <row r="10" spans="1:4">
      <c r="A10" s="4" t="s">
        <v>188</v>
      </c>
      <c r="B10" s="4">
        <v>16</v>
      </c>
    </row>
    <row r="11" spans="1:4">
      <c r="A11" s="4" t="s">
        <v>189</v>
      </c>
      <c r="B11" s="4">
        <v>40</v>
      </c>
    </row>
    <row r="12" spans="1:4">
      <c r="A12" s="4" t="s">
        <v>190</v>
      </c>
      <c r="B12" s="4">
        <v>7</v>
      </c>
    </row>
    <row r="13" spans="1:4">
      <c r="A13" s="4" t="s">
        <v>191</v>
      </c>
      <c r="B13" s="4">
        <v>20</v>
      </c>
    </row>
    <row r="14" spans="1:4">
      <c r="A14" s="4" t="s">
        <v>192</v>
      </c>
      <c r="B14" s="4">
        <v>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7"/>
  <sheetViews>
    <sheetView zoomScale="85" zoomScaleNormal="85" workbookViewId="0">
      <pane ySplit="1" topLeftCell="A9" activePane="bottomLeft" state="frozen"/>
      <selection pane="bottomLeft" activeCell="H17" sqref="H17"/>
    </sheetView>
  </sheetViews>
  <sheetFormatPr defaultRowHeight="14.25"/>
  <cols>
    <col min="1" max="1" width="27" customWidth="1"/>
    <col min="2" max="2" width="20" customWidth="1"/>
    <col min="3" max="3" width="24" customWidth="1"/>
    <col min="4" max="4" width="65" customWidth="1"/>
    <col min="5" max="5" width="29" customWidth="1"/>
    <col min="6" max="6" width="58" customWidth="1"/>
    <col min="7" max="7" width="19" customWidth="1"/>
  </cols>
  <sheetData>
    <row r="1" spans="1:7" ht="30" customHeight="1">
      <c r="A1" s="6" t="s">
        <v>193</v>
      </c>
      <c r="B1" s="6" t="s">
        <v>145</v>
      </c>
      <c r="C1" s="6" t="s">
        <v>2</v>
      </c>
      <c r="D1" s="6" t="s">
        <v>194</v>
      </c>
      <c r="E1" s="6" t="s">
        <v>195</v>
      </c>
      <c r="F1" s="6" t="s">
        <v>196</v>
      </c>
      <c r="G1" s="6" t="s">
        <v>197</v>
      </c>
    </row>
    <row r="2" spans="1:7" ht="69.95" customHeight="1">
      <c r="A2" s="1" t="s">
        <v>16</v>
      </c>
      <c r="B2" s="1" t="s">
        <v>9</v>
      </c>
      <c r="C2" s="1" t="s">
        <v>10</v>
      </c>
      <c r="D2" s="1" t="s">
        <v>12</v>
      </c>
      <c r="E2" s="1" t="s">
        <v>198</v>
      </c>
      <c r="F2" s="5" t="s">
        <v>202</v>
      </c>
      <c r="G2" s="8">
        <v>46308</v>
      </c>
    </row>
    <row r="3" spans="1:7" ht="69.95" customHeight="1">
      <c r="A3" s="1" t="s">
        <v>22</v>
      </c>
      <c r="B3" s="1" t="s">
        <v>17</v>
      </c>
      <c r="C3" s="1" t="s">
        <v>10</v>
      </c>
      <c r="D3" s="1" t="s">
        <v>19</v>
      </c>
      <c r="E3" s="1" t="s">
        <v>198</v>
      </c>
      <c r="F3" s="5" t="s">
        <v>203</v>
      </c>
      <c r="G3" s="8">
        <v>46308</v>
      </c>
    </row>
    <row r="4" spans="1:7" ht="69.95" customHeight="1">
      <c r="A4" s="1" t="s">
        <v>39</v>
      </c>
      <c r="B4" s="1" t="s">
        <v>34</v>
      </c>
      <c r="C4" s="1" t="s">
        <v>35</v>
      </c>
      <c r="D4" s="1" t="s">
        <v>37</v>
      </c>
      <c r="E4" s="1" t="s">
        <v>198</v>
      </c>
      <c r="F4" s="5" t="s">
        <v>204</v>
      </c>
      <c r="G4" s="8">
        <v>46308</v>
      </c>
    </row>
    <row r="5" spans="1:7" ht="69.95" customHeight="1">
      <c r="A5" s="1" t="s">
        <v>43</v>
      </c>
      <c r="B5" s="1" t="s">
        <v>40</v>
      </c>
      <c r="C5" s="1" t="s">
        <v>35</v>
      </c>
      <c r="D5" s="1" t="s">
        <v>41</v>
      </c>
      <c r="E5" s="1" t="s">
        <v>198</v>
      </c>
      <c r="F5" s="5" t="s">
        <v>205</v>
      </c>
      <c r="G5" s="8">
        <v>46308</v>
      </c>
    </row>
    <row r="6" spans="1:7" ht="69.95" customHeight="1">
      <c r="A6" s="1" t="s">
        <v>52</v>
      </c>
      <c r="B6" s="1" t="s">
        <v>48</v>
      </c>
      <c r="C6" s="1" t="s">
        <v>35</v>
      </c>
      <c r="D6" s="1" t="s">
        <v>50</v>
      </c>
      <c r="E6" s="1" t="s">
        <v>198</v>
      </c>
      <c r="F6" s="5" t="s">
        <v>206</v>
      </c>
      <c r="G6" s="8">
        <v>46308</v>
      </c>
    </row>
    <row r="7" spans="1:7" ht="69.95" customHeight="1">
      <c r="A7" s="1" t="s">
        <v>58</v>
      </c>
      <c r="B7" s="1" t="s">
        <v>53</v>
      </c>
      <c r="C7" s="1" t="s">
        <v>54</v>
      </c>
      <c r="D7" s="1" t="s">
        <v>56</v>
      </c>
      <c r="E7" s="1" t="s">
        <v>198</v>
      </c>
      <c r="F7" s="5" t="s">
        <v>207</v>
      </c>
      <c r="G7" s="8">
        <v>46308</v>
      </c>
    </row>
    <row r="8" spans="1:7" ht="69.95" customHeight="1">
      <c r="A8" s="1" t="s">
        <v>66</v>
      </c>
      <c r="B8" s="1" t="s">
        <v>63</v>
      </c>
      <c r="C8" s="1" t="s">
        <v>54</v>
      </c>
      <c r="D8" s="1" t="s">
        <v>64</v>
      </c>
      <c r="E8" s="1" t="s">
        <v>198</v>
      </c>
      <c r="F8" s="5" t="s">
        <v>208</v>
      </c>
      <c r="G8" s="8">
        <v>46308</v>
      </c>
    </row>
    <row r="9" spans="1:7" ht="69.95" customHeight="1">
      <c r="A9" s="1" t="s">
        <v>75</v>
      </c>
      <c r="B9" s="1" t="s">
        <v>71</v>
      </c>
      <c r="C9" s="1" t="s">
        <v>54</v>
      </c>
      <c r="D9" s="1" t="s">
        <v>73</v>
      </c>
      <c r="E9" s="1" t="s">
        <v>198</v>
      </c>
      <c r="F9" s="5" t="s">
        <v>209</v>
      </c>
      <c r="G9" s="8">
        <v>46308</v>
      </c>
    </row>
    <row r="10" spans="1:7" ht="69.95" customHeight="1">
      <c r="A10" s="1" t="s">
        <v>85</v>
      </c>
      <c r="B10" s="1" t="s">
        <v>82</v>
      </c>
      <c r="C10" s="1" t="s">
        <v>77</v>
      </c>
      <c r="D10" s="1" t="s">
        <v>83</v>
      </c>
      <c r="E10" s="1" t="s">
        <v>198</v>
      </c>
      <c r="F10" s="5" t="s">
        <v>210</v>
      </c>
      <c r="G10" s="8">
        <v>46308</v>
      </c>
    </row>
    <row r="11" spans="1:7" ht="69.95" customHeight="1">
      <c r="A11" s="1" t="s">
        <v>90</v>
      </c>
      <c r="B11" s="1" t="s">
        <v>86</v>
      </c>
      <c r="C11" s="1" t="s">
        <v>77</v>
      </c>
      <c r="D11" s="1" t="s">
        <v>88</v>
      </c>
      <c r="E11" s="1" t="s">
        <v>198</v>
      </c>
      <c r="F11" s="5" t="s">
        <v>211</v>
      </c>
      <c r="G11" s="8">
        <v>46308</v>
      </c>
    </row>
    <row r="12" spans="1:7" ht="69.95" customHeight="1">
      <c r="A12" s="1" t="s">
        <v>94</v>
      </c>
      <c r="B12" s="1" t="s">
        <v>91</v>
      </c>
      <c r="C12" s="1" t="s">
        <v>77</v>
      </c>
      <c r="D12" s="1" t="s">
        <v>92</v>
      </c>
      <c r="E12" s="1" t="s">
        <v>198</v>
      </c>
      <c r="F12" s="5" t="s">
        <v>212</v>
      </c>
      <c r="G12" s="8">
        <v>46308</v>
      </c>
    </row>
    <row r="13" spans="1:7" ht="69.95" customHeight="1">
      <c r="A13" s="1" t="s">
        <v>99</v>
      </c>
      <c r="B13" s="1" t="s">
        <v>95</v>
      </c>
      <c r="C13" s="1" t="s">
        <v>96</v>
      </c>
      <c r="D13" s="1" t="s">
        <v>97</v>
      </c>
      <c r="E13" s="1" t="s">
        <v>198</v>
      </c>
      <c r="F13" s="5" t="s">
        <v>213</v>
      </c>
      <c r="G13" s="8">
        <v>46308</v>
      </c>
    </row>
    <row r="14" spans="1:7" ht="69.95" customHeight="1">
      <c r="A14" s="1" t="s">
        <v>110</v>
      </c>
      <c r="B14" s="1" t="s">
        <v>107</v>
      </c>
      <c r="C14" s="1" t="s">
        <v>96</v>
      </c>
      <c r="D14" s="1" t="s">
        <v>108</v>
      </c>
      <c r="E14" s="1" t="s">
        <v>198</v>
      </c>
      <c r="F14" s="5" t="s">
        <v>214</v>
      </c>
      <c r="G14" s="8">
        <v>46308</v>
      </c>
    </row>
    <row r="15" spans="1:7" ht="69.95" customHeight="1">
      <c r="A15" s="1" t="s">
        <v>120</v>
      </c>
      <c r="B15" s="1" t="s">
        <v>117</v>
      </c>
      <c r="C15" s="1" t="s">
        <v>112</v>
      </c>
      <c r="D15" s="1" t="s">
        <v>118</v>
      </c>
      <c r="E15" s="1" t="s">
        <v>198</v>
      </c>
      <c r="F15" s="5" t="s">
        <v>215</v>
      </c>
      <c r="G15" s="8">
        <v>46308</v>
      </c>
    </row>
    <row r="16" spans="1:7" ht="69.95" customHeight="1">
      <c r="A16" s="1" t="s">
        <v>124</v>
      </c>
      <c r="B16" s="1" t="s">
        <v>121</v>
      </c>
      <c r="C16" s="1" t="s">
        <v>112</v>
      </c>
      <c r="D16" s="1" t="s">
        <v>122</v>
      </c>
      <c r="E16" s="1" t="s">
        <v>198</v>
      </c>
      <c r="F16" s="5" t="s">
        <v>216</v>
      </c>
      <c r="G16" s="8">
        <v>46308</v>
      </c>
    </row>
    <row r="17" spans="1:7" ht="69.95" customHeight="1">
      <c r="A17" s="1" t="s">
        <v>128</v>
      </c>
      <c r="B17" s="1" t="s">
        <v>125</v>
      </c>
      <c r="C17" s="1" t="s">
        <v>112</v>
      </c>
      <c r="D17" s="1" t="s">
        <v>126</v>
      </c>
      <c r="E17" s="1" t="s">
        <v>198</v>
      </c>
      <c r="F17" s="5" t="s">
        <v>217</v>
      </c>
      <c r="G17" s="8">
        <v>46308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
  <sheetViews>
    <sheetView zoomScale="85" zoomScaleNormal="85" workbookViewId="0">
      <pane ySplit="1" topLeftCell="A2" activePane="bottomLeft" state="frozen"/>
      <selection pane="bottomLeft" activeCell="G2" sqref="G2:G3"/>
    </sheetView>
  </sheetViews>
  <sheetFormatPr defaultRowHeight="14.25"/>
  <cols>
    <col min="1" max="1" width="27" customWidth="1"/>
    <col min="2" max="2" width="20" customWidth="1"/>
    <col min="3" max="3" width="24" customWidth="1"/>
    <col min="4" max="4" width="65" customWidth="1"/>
    <col min="5" max="5" width="29" customWidth="1"/>
    <col min="6" max="6" width="58" customWidth="1"/>
    <col min="7" max="7" width="19" customWidth="1"/>
  </cols>
  <sheetData>
    <row r="1" spans="1:7" ht="30" customHeight="1">
      <c r="A1" s="6" t="s">
        <v>199</v>
      </c>
      <c r="B1" s="6" t="s">
        <v>145</v>
      </c>
      <c r="C1" s="6" t="s">
        <v>2</v>
      </c>
      <c r="D1" s="6" t="s">
        <v>194</v>
      </c>
      <c r="E1" s="6" t="s">
        <v>195</v>
      </c>
      <c r="F1" s="6" t="s">
        <v>196</v>
      </c>
      <c r="G1" s="6" t="s">
        <v>197</v>
      </c>
    </row>
    <row r="2" spans="1:7" ht="69.95" customHeight="1">
      <c r="A2" s="1" t="s">
        <v>16</v>
      </c>
      <c r="B2" s="1" t="s">
        <v>9</v>
      </c>
      <c r="C2" s="1" t="s">
        <v>10</v>
      </c>
      <c r="D2" s="1" t="s">
        <v>12</v>
      </c>
      <c r="E2" s="1" t="s">
        <v>198</v>
      </c>
      <c r="F2" s="7" t="s">
        <v>218</v>
      </c>
      <c r="G2" s="8">
        <v>46308</v>
      </c>
    </row>
    <row r="3" spans="1:7" ht="69.95" customHeight="1">
      <c r="A3" s="1" t="s">
        <v>22</v>
      </c>
      <c r="B3" s="1" t="s">
        <v>17</v>
      </c>
      <c r="C3" s="1" t="s">
        <v>10</v>
      </c>
      <c r="D3" s="1" t="s">
        <v>19</v>
      </c>
      <c r="E3" s="1" t="s">
        <v>198</v>
      </c>
      <c r="F3" s="7" t="s">
        <v>219</v>
      </c>
      <c r="G3" s="8">
        <v>46308</v>
      </c>
    </row>
    <row r="4" spans="1:7" ht="69.95" customHeight="1">
      <c r="A4" s="1" t="s">
        <v>33</v>
      </c>
      <c r="B4" s="1" t="s">
        <v>28</v>
      </c>
      <c r="C4" s="1" t="s">
        <v>10</v>
      </c>
      <c r="D4" s="1" t="s">
        <v>30</v>
      </c>
      <c r="E4" s="1" t="s">
        <v>198</v>
      </c>
      <c r="F4" s="7" t="s">
        <v>220</v>
      </c>
      <c r="G4" s="8">
        <v>46308</v>
      </c>
    </row>
    <row r="5" spans="1:7" ht="69.95" customHeight="1">
      <c r="A5" s="1" t="s">
        <v>39</v>
      </c>
      <c r="B5" s="1" t="s">
        <v>34</v>
      </c>
      <c r="C5" s="1" t="s">
        <v>35</v>
      </c>
      <c r="D5" s="1" t="s">
        <v>37</v>
      </c>
      <c r="E5" s="1" t="s">
        <v>198</v>
      </c>
      <c r="F5" s="7" t="s">
        <v>221</v>
      </c>
      <c r="G5" s="8">
        <v>46308</v>
      </c>
    </row>
    <row r="6" spans="1:7" ht="69.95" customHeight="1">
      <c r="A6" s="1" t="s">
        <v>43</v>
      </c>
      <c r="B6" s="1" t="s">
        <v>40</v>
      </c>
      <c r="C6" s="1" t="s">
        <v>35</v>
      </c>
      <c r="D6" s="1" t="s">
        <v>41</v>
      </c>
      <c r="E6" s="1" t="s">
        <v>198</v>
      </c>
      <c r="F6" s="7" t="s">
        <v>222</v>
      </c>
      <c r="G6" s="8">
        <v>46308</v>
      </c>
    </row>
    <row r="7" spans="1:7" ht="69.95" customHeight="1">
      <c r="A7" s="1" t="s">
        <v>47</v>
      </c>
      <c r="B7" s="1" t="s">
        <v>44</v>
      </c>
      <c r="C7" s="1" t="s">
        <v>35</v>
      </c>
      <c r="D7" s="1" t="s">
        <v>45</v>
      </c>
      <c r="E7" s="1" t="s">
        <v>198</v>
      </c>
      <c r="F7" s="7" t="s">
        <v>223</v>
      </c>
      <c r="G7" s="8">
        <v>46308</v>
      </c>
    </row>
    <row r="8" spans="1:7" ht="69.95" customHeight="1">
      <c r="A8" s="1" t="s">
        <v>58</v>
      </c>
      <c r="B8" s="1" t="s">
        <v>53</v>
      </c>
      <c r="C8" s="1" t="s">
        <v>54</v>
      </c>
      <c r="D8" s="1" t="s">
        <v>56</v>
      </c>
      <c r="E8" s="1" t="s">
        <v>198</v>
      </c>
      <c r="F8" s="7" t="s">
        <v>224</v>
      </c>
      <c r="G8" s="8">
        <v>46308</v>
      </c>
    </row>
    <row r="9" spans="1:7" ht="69.95" customHeight="1">
      <c r="A9" s="1" t="s">
        <v>62</v>
      </c>
      <c r="B9" s="1" t="s">
        <v>59</v>
      </c>
      <c r="C9" s="1" t="s">
        <v>54</v>
      </c>
      <c r="D9" s="1" t="s">
        <v>60</v>
      </c>
      <c r="E9" s="1" t="s">
        <v>198</v>
      </c>
      <c r="F9" s="7" t="s">
        <v>225</v>
      </c>
      <c r="G9" s="8">
        <v>46308</v>
      </c>
    </row>
    <row r="10" spans="1:7" ht="69.95" customHeight="1">
      <c r="A10" s="1" t="s">
        <v>66</v>
      </c>
      <c r="B10" s="1" t="s">
        <v>63</v>
      </c>
      <c r="C10" s="1" t="s">
        <v>54</v>
      </c>
      <c r="D10" s="1" t="s">
        <v>64</v>
      </c>
      <c r="E10" s="1" t="s">
        <v>198</v>
      </c>
      <c r="F10" s="7" t="s">
        <v>226</v>
      </c>
      <c r="G10" s="8">
        <v>46308</v>
      </c>
    </row>
    <row r="11" spans="1:7" ht="69.95" customHeight="1">
      <c r="A11" s="1" t="s">
        <v>90</v>
      </c>
      <c r="B11" s="1" t="s">
        <v>86</v>
      </c>
      <c r="C11" s="1" t="s">
        <v>77</v>
      </c>
      <c r="D11" s="1" t="s">
        <v>88</v>
      </c>
      <c r="E11" s="1" t="s">
        <v>198</v>
      </c>
      <c r="F11" s="7" t="s">
        <v>227</v>
      </c>
      <c r="G11" s="8">
        <v>46308</v>
      </c>
    </row>
    <row r="12" spans="1:7" ht="69.95" customHeight="1">
      <c r="A12" s="1" t="s">
        <v>94</v>
      </c>
      <c r="B12" s="1" t="s">
        <v>91</v>
      </c>
      <c r="C12" s="1" t="s">
        <v>77</v>
      </c>
      <c r="D12" s="1" t="s">
        <v>92</v>
      </c>
      <c r="E12" s="1" t="s">
        <v>198</v>
      </c>
      <c r="F12" s="7" t="s">
        <v>228</v>
      </c>
      <c r="G12" s="8">
        <v>46308</v>
      </c>
    </row>
    <row r="13" spans="1:7" ht="69.95" customHeight="1">
      <c r="A13" s="1" t="s">
        <v>99</v>
      </c>
      <c r="B13" s="1" t="s">
        <v>95</v>
      </c>
      <c r="C13" s="1" t="s">
        <v>96</v>
      </c>
      <c r="D13" s="1" t="s">
        <v>97</v>
      </c>
      <c r="E13" s="1" t="s">
        <v>198</v>
      </c>
      <c r="F13" s="7" t="s">
        <v>229</v>
      </c>
      <c r="G13" s="8">
        <v>46308</v>
      </c>
    </row>
    <row r="14" spans="1:7" ht="69.95" customHeight="1">
      <c r="A14" s="1" t="s">
        <v>103</v>
      </c>
      <c r="B14" s="1" t="s">
        <v>100</v>
      </c>
      <c r="C14" s="1" t="s">
        <v>96</v>
      </c>
      <c r="D14" s="1" t="s">
        <v>101</v>
      </c>
      <c r="E14" s="1" t="s">
        <v>198</v>
      </c>
      <c r="F14" s="7" t="s">
        <v>230</v>
      </c>
      <c r="G14" s="8">
        <v>46308</v>
      </c>
    </row>
    <row r="15" spans="1:7" ht="69.95" customHeight="1">
      <c r="A15" s="1" t="s">
        <v>106</v>
      </c>
      <c r="B15" s="1" t="s">
        <v>28</v>
      </c>
      <c r="C15" s="1" t="s">
        <v>96</v>
      </c>
      <c r="D15" s="1" t="s">
        <v>104</v>
      </c>
      <c r="E15" s="1" t="s">
        <v>198</v>
      </c>
      <c r="F15" s="7" t="s">
        <v>231</v>
      </c>
      <c r="G15" s="8">
        <v>46308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
  <sheetViews>
    <sheetView zoomScale="85" zoomScaleNormal="85" workbookViewId="0">
      <pane ySplit="1" topLeftCell="A5" activePane="bottomLeft" state="frozen"/>
      <selection pane="bottomLeft" activeCell="F22" sqref="F22"/>
    </sheetView>
  </sheetViews>
  <sheetFormatPr defaultRowHeight="14.25"/>
  <cols>
    <col min="1" max="1" width="27" customWidth="1"/>
    <col min="2" max="2" width="20" customWidth="1"/>
    <col min="3" max="3" width="24" customWidth="1"/>
    <col min="4" max="4" width="65" customWidth="1"/>
    <col min="5" max="5" width="29" customWidth="1"/>
    <col min="6" max="6" width="58" customWidth="1"/>
    <col min="7" max="7" width="19" customWidth="1"/>
  </cols>
  <sheetData>
    <row r="1" spans="1:7" ht="30" customHeight="1">
      <c r="A1" s="6" t="s">
        <v>200</v>
      </c>
      <c r="B1" s="6" t="s">
        <v>145</v>
      </c>
      <c r="C1" s="6" t="s">
        <v>2</v>
      </c>
      <c r="D1" s="6" t="s">
        <v>194</v>
      </c>
      <c r="E1" s="6" t="s">
        <v>195</v>
      </c>
      <c r="F1" s="6" t="s">
        <v>196</v>
      </c>
      <c r="G1" s="6" t="s">
        <v>197</v>
      </c>
    </row>
    <row r="2" spans="1:7" ht="69.95" customHeight="1">
      <c r="A2" s="1" t="s">
        <v>27</v>
      </c>
      <c r="B2" s="1" t="s">
        <v>23</v>
      </c>
      <c r="C2" s="1" t="s">
        <v>10</v>
      </c>
      <c r="D2" s="1" t="s">
        <v>24</v>
      </c>
      <c r="E2" s="1" t="s">
        <v>198</v>
      </c>
      <c r="F2" s="9" t="s">
        <v>232</v>
      </c>
      <c r="G2" s="8">
        <v>46308</v>
      </c>
    </row>
    <row r="3" spans="1:7" ht="69.95" customHeight="1">
      <c r="A3" s="1" t="s">
        <v>33</v>
      </c>
      <c r="B3" s="1" t="s">
        <v>28</v>
      </c>
      <c r="C3" s="1" t="s">
        <v>10</v>
      </c>
      <c r="D3" s="1" t="s">
        <v>30</v>
      </c>
      <c r="E3" s="1" t="s">
        <v>198</v>
      </c>
      <c r="F3" s="9" t="s">
        <v>233</v>
      </c>
      <c r="G3" s="8">
        <v>46308</v>
      </c>
    </row>
    <row r="4" spans="1:7" ht="69.95" customHeight="1">
      <c r="A4" s="1" t="s">
        <v>47</v>
      </c>
      <c r="B4" s="1" t="s">
        <v>44</v>
      </c>
      <c r="C4" s="1" t="s">
        <v>35</v>
      </c>
      <c r="D4" s="1" t="s">
        <v>45</v>
      </c>
      <c r="E4" s="1" t="s">
        <v>198</v>
      </c>
      <c r="F4" s="9" t="s">
        <v>234</v>
      </c>
      <c r="G4" s="8">
        <v>46308</v>
      </c>
    </row>
    <row r="5" spans="1:7" ht="69.95" customHeight="1">
      <c r="A5" s="1" t="s">
        <v>62</v>
      </c>
      <c r="B5" s="1" t="s">
        <v>59</v>
      </c>
      <c r="C5" s="1" t="s">
        <v>54</v>
      </c>
      <c r="D5" s="1" t="s">
        <v>60</v>
      </c>
      <c r="E5" s="1" t="s">
        <v>198</v>
      </c>
      <c r="F5" s="9" t="s">
        <v>235</v>
      </c>
      <c r="G5" s="8">
        <v>46308</v>
      </c>
    </row>
    <row r="6" spans="1:7" ht="69.95" customHeight="1">
      <c r="A6" s="1" t="s">
        <v>70</v>
      </c>
      <c r="B6" s="1" t="s">
        <v>67</v>
      </c>
      <c r="C6" s="1" t="s">
        <v>54</v>
      </c>
      <c r="D6" s="1" t="s">
        <v>68</v>
      </c>
      <c r="E6" s="1" t="s">
        <v>198</v>
      </c>
      <c r="F6" s="9" t="s">
        <v>236</v>
      </c>
      <c r="G6" s="8">
        <v>46308</v>
      </c>
    </row>
    <row r="7" spans="1:7" ht="69.95" customHeight="1">
      <c r="A7" s="1" t="s">
        <v>81</v>
      </c>
      <c r="B7" s="1" t="s">
        <v>76</v>
      </c>
      <c r="C7" s="1" t="s">
        <v>77</v>
      </c>
      <c r="D7" s="1" t="s">
        <v>79</v>
      </c>
      <c r="E7" s="1" t="s">
        <v>198</v>
      </c>
      <c r="F7" s="9" t="s">
        <v>237</v>
      </c>
      <c r="G7" s="8">
        <v>46308</v>
      </c>
    </row>
    <row r="8" spans="1:7" ht="69.95" customHeight="1">
      <c r="A8" s="1" t="s">
        <v>103</v>
      </c>
      <c r="B8" s="1" t="s">
        <v>100</v>
      </c>
      <c r="C8" s="1" t="s">
        <v>96</v>
      </c>
      <c r="D8" s="1" t="s">
        <v>101</v>
      </c>
      <c r="E8" s="1" t="s">
        <v>198</v>
      </c>
      <c r="F8" s="9" t="s">
        <v>238</v>
      </c>
      <c r="G8" s="8">
        <v>46308</v>
      </c>
    </row>
    <row r="9" spans="1:7" ht="69.95" customHeight="1">
      <c r="A9" s="1" t="s">
        <v>106</v>
      </c>
      <c r="B9" s="1" t="s">
        <v>28</v>
      </c>
      <c r="C9" s="1" t="s">
        <v>96</v>
      </c>
      <c r="D9" s="1" t="s">
        <v>104</v>
      </c>
      <c r="E9" s="1" t="s">
        <v>198</v>
      </c>
      <c r="F9" s="9" t="s">
        <v>239</v>
      </c>
      <c r="G9" s="8">
        <v>46308</v>
      </c>
    </row>
    <row r="10" spans="1:7" ht="69.95" customHeight="1">
      <c r="A10" s="1" t="s">
        <v>116</v>
      </c>
      <c r="B10" s="1" t="s">
        <v>111</v>
      </c>
      <c r="C10" s="1" t="s">
        <v>112</v>
      </c>
      <c r="D10" s="1" t="s">
        <v>114</v>
      </c>
      <c r="E10" s="1" t="s">
        <v>198</v>
      </c>
      <c r="F10" s="9" t="s">
        <v>240</v>
      </c>
      <c r="G10" s="8">
        <v>46308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2"/>
  <sheetViews>
    <sheetView zoomScale="85" zoomScaleNormal="85" workbookViewId="0">
      <pane ySplit="1" topLeftCell="A2" activePane="bottomLeft" state="frozen"/>
      <selection pane="bottomLeft" activeCell="I12" sqref="I12"/>
    </sheetView>
  </sheetViews>
  <sheetFormatPr defaultRowHeight="14.25"/>
  <cols>
    <col min="1" max="1" width="27" customWidth="1"/>
    <col min="2" max="2" width="20" customWidth="1"/>
    <col min="3" max="3" width="24" customWidth="1"/>
    <col min="4" max="4" width="65" customWidth="1"/>
    <col min="5" max="5" width="29" customWidth="1"/>
    <col min="6" max="6" width="58" customWidth="1"/>
    <col min="7" max="7" width="19" customWidth="1"/>
  </cols>
  <sheetData>
    <row r="1" spans="1:7" ht="30" customHeight="1">
      <c r="A1" s="6" t="s">
        <v>201</v>
      </c>
      <c r="B1" s="6" t="s">
        <v>145</v>
      </c>
      <c r="C1" s="6" t="s">
        <v>2</v>
      </c>
      <c r="D1" s="6" t="s">
        <v>194</v>
      </c>
      <c r="E1" s="6" t="s">
        <v>195</v>
      </c>
      <c r="F1" s="6" t="s">
        <v>196</v>
      </c>
      <c r="G1" s="6" t="s">
        <v>197</v>
      </c>
    </row>
    <row r="2" spans="1:7" ht="69.95" customHeight="1">
      <c r="A2" s="1" t="s">
        <v>27</v>
      </c>
      <c r="B2" s="1" t="s">
        <v>23</v>
      </c>
      <c r="C2" s="1" t="s">
        <v>10</v>
      </c>
      <c r="D2" s="1" t="s">
        <v>24</v>
      </c>
      <c r="E2" s="1" t="s">
        <v>198</v>
      </c>
      <c r="F2" s="11" t="s">
        <v>241</v>
      </c>
      <c r="G2" s="8">
        <v>46308</v>
      </c>
    </row>
    <row r="3" spans="1:7" ht="69.95" customHeight="1">
      <c r="A3" s="1" t="s">
        <v>52</v>
      </c>
      <c r="B3" s="1" t="s">
        <v>48</v>
      </c>
      <c r="C3" s="1" t="s">
        <v>35</v>
      </c>
      <c r="D3" s="1" t="s">
        <v>50</v>
      </c>
      <c r="E3" s="1" t="s">
        <v>198</v>
      </c>
      <c r="F3" s="11" t="s">
        <v>242</v>
      </c>
      <c r="G3" s="8">
        <v>46308</v>
      </c>
    </row>
    <row r="4" spans="1:7" ht="69.95" customHeight="1">
      <c r="A4" s="1" t="s">
        <v>70</v>
      </c>
      <c r="B4" s="1" t="s">
        <v>67</v>
      </c>
      <c r="C4" s="1" t="s">
        <v>54</v>
      </c>
      <c r="D4" s="1" t="s">
        <v>68</v>
      </c>
      <c r="E4" s="1" t="s">
        <v>198</v>
      </c>
      <c r="F4" s="11" t="s">
        <v>243</v>
      </c>
      <c r="G4" s="8">
        <v>46308</v>
      </c>
    </row>
    <row r="5" spans="1:7" ht="69.95" customHeight="1">
      <c r="A5" s="1" t="s">
        <v>75</v>
      </c>
      <c r="B5" s="1" t="s">
        <v>71</v>
      </c>
      <c r="C5" s="1" t="s">
        <v>54</v>
      </c>
      <c r="D5" s="1" t="s">
        <v>73</v>
      </c>
      <c r="E5" s="1" t="s">
        <v>198</v>
      </c>
      <c r="F5" s="11" t="s">
        <v>244</v>
      </c>
      <c r="G5" s="8">
        <v>46308</v>
      </c>
    </row>
    <row r="6" spans="1:7" ht="69.95" customHeight="1">
      <c r="A6" s="1" t="s">
        <v>81</v>
      </c>
      <c r="B6" s="1" t="s">
        <v>76</v>
      </c>
      <c r="C6" s="1" t="s">
        <v>77</v>
      </c>
      <c r="D6" s="1" t="s">
        <v>79</v>
      </c>
      <c r="E6" s="1" t="s">
        <v>198</v>
      </c>
      <c r="F6" s="11" t="s">
        <v>245</v>
      </c>
      <c r="G6" s="8">
        <v>46308</v>
      </c>
    </row>
    <row r="7" spans="1:7" ht="69.95" customHeight="1">
      <c r="A7" s="1" t="s">
        <v>85</v>
      </c>
      <c r="B7" s="1" t="s">
        <v>82</v>
      </c>
      <c r="C7" s="1" t="s">
        <v>77</v>
      </c>
      <c r="D7" s="1" t="s">
        <v>83</v>
      </c>
      <c r="E7" s="1" t="s">
        <v>198</v>
      </c>
      <c r="F7" s="11" t="s">
        <v>246</v>
      </c>
      <c r="G7" s="8">
        <v>46308</v>
      </c>
    </row>
    <row r="8" spans="1:7" ht="69.95" customHeight="1">
      <c r="A8" s="1" t="s">
        <v>110</v>
      </c>
      <c r="B8" s="1" t="s">
        <v>107</v>
      </c>
      <c r="C8" s="1" t="s">
        <v>96</v>
      </c>
      <c r="D8" s="1" t="s">
        <v>108</v>
      </c>
      <c r="E8" s="1" t="s">
        <v>198</v>
      </c>
      <c r="F8" s="11" t="s">
        <v>247</v>
      </c>
      <c r="G8" s="8">
        <v>46308</v>
      </c>
    </row>
    <row r="9" spans="1:7" ht="69.95" customHeight="1">
      <c r="A9" s="1" t="s">
        <v>116</v>
      </c>
      <c r="B9" s="1" t="s">
        <v>111</v>
      </c>
      <c r="C9" s="1" t="s">
        <v>112</v>
      </c>
      <c r="D9" s="1" t="s">
        <v>114</v>
      </c>
      <c r="E9" s="1" t="s">
        <v>198</v>
      </c>
      <c r="F9" s="11" t="s">
        <v>248</v>
      </c>
      <c r="G9" s="8">
        <v>46308</v>
      </c>
    </row>
    <row r="10" spans="1:7" ht="69.95" customHeight="1">
      <c r="A10" s="1" t="s">
        <v>120</v>
      </c>
      <c r="B10" s="1" t="s">
        <v>117</v>
      </c>
      <c r="C10" s="1" t="s">
        <v>112</v>
      </c>
      <c r="D10" s="1" t="s">
        <v>118</v>
      </c>
      <c r="E10" s="1" t="s">
        <v>198</v>
      </c>
      <c r="F10" s="11" t="s">
        <v>249</v>
      </c>
      <c r="G10" s="8">
        <v>46308</v>
      </c>
    </row>
    <row r="11" spans="1:7" ht="69.95" customHeight="1">
      <c r="A11" s="1" t="s">
        <v>124</v>
      </c>
      <c r="B11" s="1" t="s">
        <v>121</v>
      </c>
      <c r="C11" s="1" t="s">
        <v>112</v>
      </c>
      <c r="D11" s="1" t="s">
        <v>122</v>
      </c>
      <c r="E11" s="1" t="s">
        <v>198</v>
      </c>
      <c r="F11" s="11" t="s">
        <v>250</v>
      </c>
      <c r="G11" s="8">
        <v>46308</v>
      </c>
    </row>
    <row r="12" spans="1:7" ht="69.95" customHeight="1">
      <c r="A12" s="1" t="s">
        <v>128</v>
      </c>
      <c r="B12" s="1" t="s">
        <v>125</v>
      </c>
      <c r="C12" s="1" t="s">
        <v>112</v>
      </c>
      <c r="D12" s="1" t="s">
        <v>126</v>
      </c>
      <c r="E12" s="1" t="s">
        <v>198</v>
      </c>
      <c r="F12" s="11" t="s">
        <v>251</v>
      </c>
      <c r="G12" s="8">
        <v>46308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Реєстр</vt:lpstr>
      <vt:lpstr>Розподіл розділів</vt:lpstr>
      <vt:lpstr>Спірні</vt:lpstr>
      <vt:lpstr>Підсумок</vt:lpstr>
      <vt:lpstr>ТА_аудит</vt:lpstr>
      <vt:lpstr>ІТ_аудит</vt:lpstr>
      <vt:lpstr>СМ_аудит</vt:lpstr>
      <vt:lpstr>КТ_аудит</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Yevgen Rushay</cp:lastModifiedBy>
  <dcterms:modified xsi:type="dcterms:W3CDTF">2026-10-13T17:32:03Z</dcterms:modified>
</cp:coreProperties>
</file>