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ez\Desktop\sprint2\docs\sprint2\"/>
    </mc:Choice>
  </mc:AlternateContent>
  <bookViews>
    <workbookView xWindow="0" yWindow="0" windowWidth="28800" windowHeight="12315"/>
  </bookViews>
  <sheets>
    <sheet name="Задачі" sheetId="1" r:id="rId1"/>
    <sheet name="Підсумок" sheetId="2" r:id="rId2"/>
    <sheet name="Ролі" sheetId="3" r:id="rId3"/>
  </sheets>
  <calcPr calcId="152511"/>
</workbook>
</file>

<file path=xl/calcChain.xml><?xml version="1.0" encoding="utf-8"?>
<calcChain xmlns="http://schemas.openxmlformats.org/spreadsheetml/2006/main">
  <c r="B4" i="2" l="1"/>
  <c r="B5" i="2"/>
  <c r="B3" i="2"/>
  <c r="B2" i="2"/>
</calcChain>
</file>

<file path=xl/sharedStrings.xml><?xml version="1.0" encoding="utf-8"?>
<sst xmlns="http://schemas.openxmlformats.org/spreadsheetml/2006/main" count="107" uniqueCount="64">
  <si>
    <t>№</t>
  </si>
  <si>
    <t>Задача / підзадача</t>
  </si>
  <si>
    <t>Роль</t>
  </si>
  <si>
    <t>Виконавець</t>
  </si>
  <si>
    <t>Оцінка, год</t>
  </si>
  <si>
    <t>Факт, год</t>
  </si>
  <si>
    <t>Статус</t>
  </si>
  <si>
    <t>Артефакт / посилання</t>
  </si>
  <si>
    <t>Рецензент</t>
  </si>
  <si>
    <t>T2-01</t>
  </si>
  <si>
    <t>Розподілити розділи 1–6 між 4 учасниками та підготувати питання замовнику</t>
  </si>
  <si>
    <t>КТ</t>
  </si>
  <si>
    <t>Дарина Поломарьова</t>
  </si>
  <si>
    <t>готово</t>
  </si>
  <si>
    <t>requirements-defects.xlsx / Розподіл; audit_questions.md</t>
  </si>
  <si>
    <t>Рушай Євген</t>
  </si>
  <si>
    <t>T2-02</t>
  </si>
  <si>
    <t>Провести власну перевірку розділів 3 і 6</t>
  </si>
  <si>
    <t>ТА</t>
  </si>
  <si>
    <t>Асташов Іван</t>
  </si>
  <si>
    <t>на рецензії</t>
  </si>
  <si>
    <t>Кінаш Єгор</t>
  </si>
  <si>
    <t>T2-03</t>
  </si>
  <si>
    <t>Провести власну перевірку розділів 3 і 5</t>
  </si>
  <si>
    <t>ІТ</t>
  </si>
  <si>
    <t>T2-04</t>
  </si>
  <si>
    <t>Провести власну перевірку розділів 1, 4, 5</t>
  </si>
  <si>
    <t>СМ</t>
  </si>
  <si>
    <t>T2-05</t>
  </si>
  <si>
    <t>Провести власну перевірку розділів 1, 2, 4, 6</t>
  </si>
  <si>
    <t>T2-06</t>
  </si>
  <si>
    <t>Звести дефекти, прибрати дублікати і оформити реєстр 25 зауважень</t>
  </si>
  <si>
    <t>requirements-defects.xlsx / Реєстр; requirements-defects.md</t>
  </si>
  <si>
    <t>T2-07</t>
  </si>
  <si>
    <t>Розглянути спірні питання та визначити робочі рішення</t>
  </si>
  <si>
    <t>requirements-defects.xlsx / Спірні; audit_questions.md</t>
  </si>
  <si>
    <t>T2-08</t>
  </si>
  <si>
    <t>Виправити SRS до 1.1 і скласти повний журнал змін</t>
  </si>
  <si>
    <t>SRS-1.1.md</t>
  </si>
  <si>
    <t>T2-09</t>
  </si>
  <si>
    <t>Скласти план тестування: 7 рівнів, 24 типи</t>
  </si>
  <si>
    <t>test-plan.md</t>
  </si>
  <si>
    <t>T2-10</t>
  </si>
  <si>
    <t>Оформити дошку задач і підготувати ретроспективу</t>
  </si>
  <si>
    <t>task-board.xlsx; tasks.md; retro-sprint2.md</t>
  </si>
  <si>
    <t>Показник</t>
  </si>
  <si>
    <t>Значення</t>
  </si>
  <si>
    <t>Задач усього</t>
  </si>
  <si>
    <t>Планові години</t>
  </si>
  <si>
    <t>Остаточні фактичні години</t>
  </si>
  <si>
    <t>Артефакти на перевірці</t>
  </si>
  <si>
    <t>Позначення учасників</t>
  </si>
  <si>
    <t>Асташов; Кінаш; Рушай; Поломарьова</t>
  </si>
  <si>
    <t>Учасник</t>
  </si>
  <si>
    <t>Роль спринта 2</t>
  </si>
  <si>
    <t>Розділи перевірки</t>
  </si>
  <si>
    <t>3, 6</t>
  </si>
  <si>
    <t>2, 3, 5</t>
  </si>
  <si>
    <t>1, 4, 5</t>
  </si>
  <si>
    <t>1, 2, 4, 6</t>
  </si>
  <si>
    <t>requirements-defects.xlsx / ТА_аудит</t>
  </si>
  <si>
    <t>requirements-defects.xlsx / ІТ_аудит</t>
  </si>
  <si>
    <t>requirements-defects.xlsx / СМ_аудит</t>
  </si>
  <si>
    <t>requirements-defects.xlsx / КТ_аудит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</si>
</sst>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NumberFormat="1" applyFont="1" applyFill="1" applyBorder="1" applyAlignment="1">
      <alignment vertical="center" wrapText="1"/>
    </xf>
    <xf numFmtId="0" fontId="0" fillId="0" borderId="1" xfId="1" applyNumberFormat="1" applyFont="1" applyFill="1" applyBorder="1" applyAlignment="1">
      <alignment vertical="top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60" zoomScaleNormal="60" workbookViewId="0">
      <pane ySplit="1" topLeftCell="A2" activePane="bottomLeft" state="frozen"/>
      <selection pane="bottomLeft" activeCell="K12" sqref="K12"/>
    </sheetView>
  </sheetViews>
  <sheetFormatPr defaultRowHeight="14.25"/>
  <cols>
    <col min="1" max="1" width="12" customWidth="1"/>
    <col min="2" max="2" width="70" customWidth="1"/>
    <col min="3" max="3" width="17" customWidth="1"/>
    <col min="4" max="4" width="27" customWidth="1"/>
    <col min="5" max="5" width="20" customWidth="1"/>
    <col min="6" max="6" width="23" customWidth="1"/>
    <col min="7" max="7" width="29" customWidth="1"/>
    <col min="8" max="8" width="59" customWidth="1"/>
    <col min="9" max="9" width="27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95" customHeight="1">
      <c r="A2" s="2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>
        <v>2</v>
      </c>
      <c r="G2" s="2" t="s">
        <v>13</v>
      </c>
      <c r="H2" s="2" t="s">
        <v>14</v>
      </c>
      <c r="I2" s="2" t="s">
        <v>15</v>
      </c>
    </row>
    <row r="3" spans="1:9" ht="72.95" customHeight="1">
      <c r="A3" s="2" t="s">
        <v>16</v>
      </c>
      <c r="B3" s="2" t="s">
        <v>17</v>
      </c>
      <c r="C3" s="2" t="s">
        <v>18</v>
      </c>
      <c r="D3" s="2" t="s">
        <v>19</v>
      </c>
      <c r="E3" s="2">
        <v>3</v>
      </c>
      <c r="F3" s="2">
        <v>2.5</v>
      </c>
      <c r="G3" s="2" t="s">
        <v>20</v>
      </c>
      <c r="H3" s="2" t="s">
        <v>60</v>
      </c>
      <c r="I3" s="2" t="s">
        <v>21</v>
      </c>
    </row>
    <row r="4" spans="1:9" ht="72.95" customHeight="1">
      <c r="A4" s="2" t="s">
        <v>22</v>
      </c>
      <c r="B4" s="2" t="s">
        <v>23</v>
      </c>
      <c r="C4" s="2" t="s">
        <v>24</v>
      </c>
      <c r="D4" s="2" t="s">
        <v>21</v>
      </c>
      <c r="E4" s="2">
        <v>3</v>
      </c>
      <c r="F4" s="2">
        <v>2.5</v>
      </c>
      <c r="G4" s="2" t="s">
        <v>20</v>
      </c>
      <c r="H4" s="2" t="s">
        <v>61</v>
      </c>
      <c r="I4" s="2" t="s">
        <v>15</v>
      </c>
    </row>
    <row r="5" spans="1:9" ht="72.95" customHeight="1">
      <c r="A5" s="2" t="s">
        <v>25</v>
      </c>
      <c r="B5" s="2" t="s">
        <v>26</v>
      </c>
      <c r="C5" s="2" t="s">
        <v>27</v>
      </c>
      <c r="D5" s="2" t="s">
        <v>15</v>
      </c>
      <c r="E5" s="2">
        <v>3</v>
      </c>
      <c r="F5" s="2">
        <v>2</v>
      </c>
      <c r="G5" s="2" t="s">
        <v>20</v>
      </c>
      <c r="H5" s="2" t="s">
        <v>62</v>
      </c>
      <c r="I5" s="2" t="s">
        <v>12</v>
      </c>
    </row>
    <row r="6" spans="1:9" ht="72.95" customHeight="1">
      <c r="A6" s="2" t="s">
        <v>28</v>
      </c>
      <c r="B6" s="2" t="s">
        <v>29</v>
      </c>
      <c r="C6" s="2" t="s">
        <v>11</v>
      </c>
      <c r="D6" s="2" t="s">
        <v>12</v>
      </c>
      <c r="E6" s="2">
        <v>3</v>
      </c>
      <c r="F6" s="2">
        <v>3</v>
      </c>
      <c r="G6" s="2" t="s">
        <v>20</v>
      </c>
      <c r="H6" s="2" t="s">
        <v>63</v>
      </c>
      <c r="I6" s="2" t="s">
        <v>19</v>
      </c>
    </row>
    <row r="7" spans="1:9" ht="72.95" customHeight="1">
      <c r="A7" s="2" t="s">
        <v>30</v>
      </c>
      <c r="B7" s="2" t="s">
        <v>31</v>
      </c>
      <c r="C7" s="2" t="s">
        <v>18</v>
      </c>
      <c r="D7" s="2" t="s">
        <v>19</v>
      </c>
      <c r="E7" s="2">
        <v>5</v>
      </c>
      <c r="F7" s="2">
        <v>4</v>
      </c>
      <c r="G7" s="2" t="s">
        <v>13</v>
      </c>
      <c r="H7" s="2" t="s">
        <v>32</v>
      </c>
      <c r="I7" s="2" t="s">
        <v>12</v>
      </c>
    </row>
    <row r="8" spans="1:9" ht="72.95" customHeight="1">
      <c r="A8" s="2" t="s">
        <v>33</v>
      </c>
      <c r="B8" s="2" t="s">
        <v>34</v>
      </c>
      <c r="C8" s="2" t="s">
        <v>11</v>
      </c>
      <c r="D8" s="2" t="s">
        <v>12</v>
      </c>
      <c r="E8" s="2">
        <v>2</v>
      </c>
      <c r="F8" s="2">
        <v>2.5</v>
      </c>
      <c r="G8" s="2" t="s">
        <v>20</v>
      </c>
      <c r="H8" s="2" t="s">
        <v>35</v>
      </c>
      <c r="I8" s="2" t="s">
        <v>15</v>
      </c>
    </row>
    <row r="9" spans="1:9" ht="72.95" customHeight="1">
      <c r="A9" s="2" t="s">
        <v>36</v>
      </c>
      <c r="B9" s="2" t="s">
        <v>37</v>
      </c>
      <c r="C9" s="2" t="s">
        <v>18</v>
      </c>
      <c r="D9" s="2" t="s">
        <v>19</v>
      </c>
      <c r="E9" s="2">
        <v>5</v>
      </c>
      <c r="F9" s="2">
        <v>5</v>
      </c>
      <c r="G9" s="2" t="s">
        <v>13</v>
      </c>
      <c r="H9" s="2" t="s">
        <v>38</v>
      </c>
      <c r="I9" s="2" t="s">
        <v>21</v>
      </c>
    </row>
    <row r="10" spans="1:9" ht="72.95" customHeight="1">
      <c r="A10" s="2" t="s">
        <v>39</v>
      </c>
      <c r="B10" s="2" t="s">
        <v>40</v>
      </c>
      <c r="C10" s="2" t="s">
        <v>24</v>
      </c>
      <c r="D10" s="2" t="s">
        <v>21</v>
      </c>
      <c r="E10" s="2">
        <v>5</v>
      </c>
      <c r="F10" s="2">
        <v>6</v>
      </c>
      <c r="G10" s="2" t="s">
        <v>13</v>
      </c>
      <c r="H10" s="2" t="s">
        <v>41</v>
      </c>
      <c r="I10" s="2" t="s">
        <v>12</v>
      </c>
    </row>
    <row r="11" spans="1:9" ht="72.95" customHeight="1">
      <c r="A11" s="2" t="s">
        <v>42</v>
      </c>
      <c r="B11" s="2" t="s">
        <v>43</v>
      </c>
      <c r="C11" s="2" t="s">
        <v>27</v>
      </c>
      <c r="D11" s="2" t="s">
        <v>15</v>
      </c>
      <c r="E11" s="2">
        <v>2</v>
      </c>
      <c r="F11" s="2">
        <v>2</v>
      </c>
      <c r="G11" s="2" t="s">
        <v>20</v>
      </c>
      <c r="H11" s="2" t="s">
        <v>44</v>
      </c>
      <c r="I11" s="2" t="s">
        <v>21</v>
      </c>
    </row>
  </sheetData>
  <dataValidations count="1">
    <dataValidation type="list" sqref="G2:G11">
      <formula1>"заплановано,в роботі,на рецензії,готово,перенесено,до виконання після Demo"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B2" sqref="B2"/>
    </sheetView>
  </sheetViews>
  <sheetFormatPr defaultRowHeight="14.25"/>
  <cols>
    <col min="1" max="1" width="39" customWidth="1"/>
    <col min="2" max="2" width="53" customWidth="1"/>
  </cols>
  <sheetData>
    <row r="1" spans="1:2" ht="30" customHeight="1">
      <c r="A1" s="1" t="s">
        <v>45</v>
      </c>
      <c r="B1" s="1" t="s">
        <v>46</v>
      </c>
    </row>
    <row r="2" spans="1:2" ht="36" customHeight="1">
      <c r="A2" s="2" t="s">
        <v>47</v>
      </c>
      <c r="B2" s="2">
        <f>COUNTA(Задачі!A2:A11)</f>
        <v>10</v>
      </c>
    </row>
    <row r="3" spans="1:2" ht="36" customHeight="1">
      <c r="A3" s="2" t="s">
        <v>48</v>
      </c>
      <c r="B3" s="2">
        <f>SUM(Задачі!E2:E11)</f>
        <v>33</v>
      </c>
    </row>
    <row r="4" spans="1:2" ht="36" customHeight="1">
      <c r="A4" s="2" t="s">
        <v>49</v>
      </c>
      <c r="B4" s="2">
        <f>SUM(Задачі!F2:F11)</f>
        <v>31.5</v>
      </c>
    </row>
    <row r="5" spans="1:2" ht="36" customHeight="1">
      <c r="A5" s="2" t="s">
        <v>50</v>
      </c>
      <c r="B5" s="2">
        <f>COUNTIF(Задачі!G2:G11,"на рецензії")</f>
        <v>6</v>
      </c>
    </row>
    <row r="6" spans="1:2" ht="36" customHeight="1">
      <c r="A6" s="2" t="s">
        <v>51</v>
      </c>
      <c r="B6" s="2" t="s">
        <v>52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 activeCell="C10" sqref="C10"/>
    </sheetView>
  </sheetViews>
  <sheetFormatPr defaultRowHeight="14.25"/>
  <cols>
    <col min="1" max="1" width="33" customWidth="1"/>
    <col min="2" max="2" width="34" customWidth="1"/>
    <col min="3" max="3" width="27" customWidth="1"/>
    <col min="4" max="4" width="33" customWidth="1"/>
  </cols>
  <sheetData>
    <row r="1" spans="1:4" ht="30" customHeight="1">
      <c r="A1" s="1" t="s">
        <v>53</v>
      </c>
      <c r="B1" s="1" t="s">
        <v>54</v>
      </c>
      <c r="C1" s="1" t="s">
        <v>55</v>
      </c>
      <c r="D1" s="1" t="s">
        <v>8</v>
      </c>
    </row>
    <row r="2" spans="1:4" ht="32.1" customHeight="1">
      <c r="A2" s="2" t="s">
        <v>19</v>
      </c>
      <c r="B2" s="2" t="s">
        <v>18</v>
      </c>
      <c r="C2" s="2" t="s">
        <v>56</v>
      </c>
      <c r="D2" s="2" t="s">
        <v>12</v>
      </c>
    </row>
    <row r="3" spans="1:4" ht="32.1" customHeight="1">
      <c r="A3" s="2" t="s">
        <v>21</v>
      </c>
      <c r="B3" s="2" t="s">
        <v>24</v>
      </c>
      <c r="C3" s="2" t="s">
        <v>57</v>
      </c>
      <c r="D3" s="2" t="s">
        <v>15</v>
      </c>
    </row>
    <row r="4" spans="1:4" ht="32.1" customHeight="1">
      <c r="A4" s="2" t="s">
        <v>15</v>
      </c>
      <c r="B4" s="2" t="s">
        <v>27</v>
      </c>
      <c r="C4" s="2" t="s">
        <v>58</v>
      </c>
      <c r="D4" s="2" t="s">
        <v>21</v>
      </c>
    </row>
    <row r="5" spans="1:4" ht="32.1" customHeight="1">
      <c r="A5" s="2" t="s">
        <v>12</v>
      </c>
      <c r="B5" s="2" t="s">
        <v>11</v>
      </c>
      <c r="C5" s="2" t="s">
        <v>59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Задачі</vt:lpstr>
      <vt:lpstr>Підсумок</vt:lpstr>
      <vt:lpstr>Ролі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Yevgen Rushay</cp:lastModifiedBy>
  <dcterms:modified xsi:type="dcterms:W3CDTF">2026-10-13T17:48:47Z</dcterms:modified>
</cp:coreProperties>
</file>