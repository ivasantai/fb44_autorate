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urez\Desktop\"/>
    </mc:Choice>
  </mc:AlternateContent>
  <bookViews>
    <workbookView xWindow="0" yWindow="0" windowWidth="28800" windowHeight="12315"/>
  </bookViews>
  <sheets>
    <sheet name="Run 1" sheetId="1" r:id="rId1"/>
    <sheet name="Environment" sheetId="2" r:id="rId2"/>
  </sheets>
  <calcPr calcId="152511"/>
</workbook>
</file>

<file path=xl/calcChain.xml><?xml version="1.0" encoding="utf-8"?>
<calcChain xmlns="http://schemas.openxmlformats.org/spreadsheetml/2006/main">
  <c r="E4" i="2" l="1"/>
  <c r="E5" i="2" s="1"/>
  <c r="E3" i="2"/>
  <c r="E2" i="2"/>
  <c r="E6" i="2" l="1"/>
</calcChain>
</file>

<file path=xl/sharedStrings.xml><?xml version="1.0" encoding="utf-8"?>
<sst xmlns="http://schemas.openxmlformats.org/spreadsheetml/2006/main" count="275" uniqueCount="134">
  <si>
    <t>Run</t>
  </si>
  <si>
    <t>TC-ID</t>
  </si>
  <si>
    <t>Дата</t>
  </si>
  <si>
    <t>Відповідальний виконавець</t>
  </si>
  <si>
    <t>Середовище</t>
  </si>
  <si>
    <t>Статус</t>
  </si>
  <si>
    <t>Bug ID</t>
  </si>
  <si>
    <t>Фактичний результат / причина</t>
  </si>
  <si>
    <t>Run 1</t>
  </si>
  <si>
    <t>TC-001</t>
  </si>
  <si>
    <t>Асташов Іван</t>
  </si>
  <si>
    <t>ENV-01; https://buggy.justtestit.org/; 28.10.2026; Chrome 156.0.8078.73, ОС Windows 11; гість</t>
  </si>
  <si>
    <t>passed</t>
  </si>
  <si>
    <t>Три блоки присутні; переходи ведуть на Lamborghini, Diablo та Overall Rating. Алгоритм вибору популярних об’єктів цим кейсом не перевіряється.</t>
  </si>
  <si>
    <t>TC-002</t>
  </si>
  <si>
    <t>failed</t>
  </si>
  <si>
    <t>BUG-001</t>
  </si>
  <si>
    <t>Крок 2: сторінка марки залишилась відкритою. Посилання Buggy Rating має href /broken.</t>
  </si>
  <si>
    <t>TC-003</t>
  </si>
  <si>
    <t>Усі п’ять полів та обидва елементи керування є; Register неактивна.</t>
  </si>
  <si>
    <t>TC-004</t>
  </si>
  <si>
    <t>Порожнє поле: First Name is required, межа rgb(169,68,66), 5 px. Після введення Test повідомлення зникло, межа зелена rgb(66,169,72).</t>
  </si>
  <si>
    <t>TC-005</t>
  </si>
  <si>
    <t>Cancel повернув на головну; повторно відкрита форма порожня. Обліковий запис не створювався.</t>
  </si>
  <si>
    <t>TC-006</t>
  </si>
  <si>
    <t>BUG-002</t>
  </si>
  <si>
    <t>Крок 7: Register активна для Auto123 (7 символів).</t>
  </si>
  <si>
    <t>TC-007</t>
  </si>
  <si>
    <t>Крок 7: Register активна. Форма не надсилалась.</t>
  </si>
  <si>
    <t>TC-008</t>
  </si>
  <si>
    <t>TC-009</t>
  </si>
  <si>
    <t>BUG-003</t>
  </si>
  <si>
    <t>Крок 7: Register активна для рядка з 65 символів.</t>
  </si>
  <si>
    <t>TC-010</t>
  </si>
  <si>
    <t>BUG-004</t>
  </si>
  <si>
    <t>Крок 7: Register активна для Autotest.</t>
  </si>
  <si>
    <t>TC-011</t>
  </si>
  <si>
    <t>BUG-005</t>
  </si>
  <si>
    <t>Крок 7: Register активна для 12345678.</t>
  </si>
  <si>
    <t>TC-012</t>
  </si>
  <si>
    <t>Passwords do not match показано для розбіжності; Register неактивна. Після виправлення повідомлення зникло.</t>
  </si>
  <si>
    <t>TC-013</t>
  </si>
  <si>
    <t>Тип поля верхньої панелі — password; потрібні підказка й кнопки присутні. Також обидва поля пароля реєстрації мають тип password.</t>
  </si>
  <si>
    <t>TC-014</t>
  </si>
  <si>
    <t>Видно опис і таблицю з 5 моделями, до 3 коментарів у рядку; View more веде до Diablo. Формула ранжування не перевірялась.</t>
  </si>
  <si>
    <t>TC-015</t>
  </si>
  <si>
    <t>Таблиця та всі зазначені заголовки присутні. Посилання марки веде на /make/ckl2phsabijs71623vk0. Ранги першої сторінки — 1–5.</t>
  </si>
  <si>
    <t>TC-016</t>
  </si>
  <si>
    <t>BUG-006</t>
  </si>
  <si>
    <t>Крок 3: Author порожній у всіх трьох перших рядках; Date і Comment заповнено. Приклад на дату прогону: hello, hi, azsdgggggggggggggggg.</t>
  </si>
  <si>
    <t>TC-017</t>
  </si>
  <si>
    <t>BUG-007</t>
  </si>
  <si>
    <t>Крок 2: переходу немає. Назва — звичайний h4 без посилання; логотип має окреме посилання.</t>
  </si>
  <si>
    <t>TC-018</t>
  </si>
  <si>
    <t>BUG-008</t>
  </si>
  <si>
    <t>Крок 2: Engine 6.0l; Max Speed 25km/h. Зіставлення з Diablo 6.0 ґрунтується на об’ємі двигуна і тексті про 2000 рік у картці.</t>
  </si>
  <si>
    <t>TC-019</t>
  </si>
  <si>
    <t>Показано точний текст You need to be logged in to vote.; форми голосування немає.</t>
  </si>
  <si>
    <t>TC-020</t>
  </si>
  <si>
    <t>Адреса змінилась на https://buggy.justtestit.org/; показано гостьову панель; Profile не відкрито.</t>
  </si>
  <si>
    <t>TC-021</t>
  </si>
  <si>
    <t>На сторінках 1 і 2 відповідно 5 та 4 рядки. Крайні кнопки мають клас disabled. Показано page 1 of 2 та page 2 of 2.</t>
  </si>
  <si>
    <t>TC-022</t>
  </si>
  <si>
    <t>На першій сторінці ранги 1–5, після переходу — 6–10; page 2 of 5; 5 рядків.</t>
  </si>
  <si>
    <t>TC-023</t>
  </si>
  <si>
    <t>На екрані під час завантаження зафіксовано блакитний індикатор; після отримання даних видно таблицю.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</si>
  <si>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</si>
  <si>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</si>
  <si>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</si>
  <si>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</si>
  <si>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</si>
  <si>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</si>
  <si>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</si>
  <si>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</si>
  <si>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</si>
  <si>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</si>
  <si>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</si>
  <si>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</si>
  <si>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</si>
  <si>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Поле</t>
  </si>
  <si>
    <t>Значення</t>
  </si>
  <si>
    <t>Статистика Run 1</t>
  </si>
  <si>
    <t>Кількість</t>
  </si>
  <si>
    <t>Ідентифікатор</t>
  </si>
  <si>
    <t>ENV-01</t>
  </si>
  <si>
    <t>Кейсів усього</t>
  </si>
  <si>
    <t>Продукт</t>
  </si>
  <si>
    <t>АвтоРейт / Buggy Cars Rating</t>
  </si>
  <si>
    <t>Адреса demo</t>
  </si>
  <si>
    <t>https://buggy.justtestit.org/</t>
  </si>
  <si>
    <t>Дата стану demo</t>
  </si>
  <si>
    <t>28.10.2026</t>
  </si>
  <si>
    <t>Збірка</t>
  </si>
  <si>
    <t>Публічний demo; номер версії або commit застосунок не показує</t>
  </si>
  <si>
    <t>Браузер</t>
  </si>
  <si>
    <t>ОС</t>
  </si>
  <si>
    <t>JavaScript</t>
  </si>
  <si>
    <t>Увімкнено</t>
  </si>
  <si>
    <t>Обліковий запис прогону</t>
  </si>
  <si>
    <t>Гість; реєстраційні форми не надсилались</t>
  </si>
  <si>
    <t>Тестові дані форми</t>
  </si>
  <si>
    <t>autorate_ui_20261028 / Test / User; рядки паролів — відкриті фікстури, жодного запису з ними не створено</t>
  </si>
  <si>
    <t>Тестовий запис для авторизованих кейсів</t>
  </si>
  <si>
    <t>autorate_fb44_s3 — передумова дизайну; фактично не створений</t>
  </si>
  <si>
    <t>Відповідальний за журнал</t>
  </si>
  <si>
    <t>Асташов Іван (за ротацією; особисте виконання не засвідчується)</t>
  </si>
  <si>
    <t>Метод</t>
  </si>
  <si>
    <t>Послідовні дії у браузері та читання відображеного інтерфейсу; без навантаження та змінених API-запитів</t>
  </si>
  <si>
    <t>Обмеження</t>
  </si>
  <si>
    <t>Ротація ролей</t>
  </si>
  <si>
    <t>https://github.com/ivasantai/fb44_autorate/blob/6762740b2d7070699c8366bbc753eb67b3c52873/docs/team/charter.md</t>
  </si>
  <si>
    <t>Додатковий еталон BUG-008</t>
  </si>
  <si>
    <t>https://www.thenewsmarket.com/news/lamborghini-diablo--celebrating-35-years-of-an-icon/s/230811c6-4cc5-4f0f-b519-d2c23e9d7908</t>
  </si>
  <si>
    <t>Рецензування</t>
  </si>
  <si>
    <t>У Review записано технічну перевірку текстів; ПІБ — відповідальні; персональне погодження не отримано</t>
  </si>
  <si>
    <t>Звітів із Bug ID</t>
  </si>
  <si>
    <t>Зі статусом passed/failed</t>
  </si>
  <si>
    <t>Рядки TC-024–TC-036 містять предмет перевірки й критерії оцінки; статуси прив’язано до доступних результатів.</t>
  </si>
  <si>
    <t xml:space="preserve">Під час введення Age = 121 сайт показав «Age must be in the range from 0 to 95», тобто не приймає значення вище верхньої межі SRS 120. </t>
  </si>
  <si>
    <t xml:space="preserve">Перевірити повністю порожнє поле Comment (0 символів): Vote! недоступна або з’являється помилка «порожній коментар», число голосів не збільшується. </t>
  </si>
  <si>
    <t>Cайт прийняв коментар довжиною 201 символ і показав «Thank you for your vote!», коментар з’явився в таблиці моделі Murciélago. Це суперечить BL-50 (максимум 200 символів)</t>
  </si>
  <si>
    <t>Перевірено верхню допустиму довжину коментаря — рівно 200 символів: на моделі без попереднього голосу натиснути Vote!</t>
  </si>
  <si>
    <t>Перевірено верхню допустиму межу SRS Age = 120: значення має зберегтися й лишитися після F5. для Age = 96 сайт уже показував «Age must be in the range from 0 to 95».</t>
  </si>
  <si>
    <t xml:space="preserve">Перевірено реєстрацію нового логіна з First Name Test, Last Name User та допустимим паролем; після Register з’явилося «Registration is successful», а поля очистилися. </t>
  </si>
  <si>
    <t xml:space="preserve">Перевірено вхід зі сторінки моделі Diablo: після Login залишилися на цій моделі, побачили «Hi, Test», Profile та Logout; після Logout — гостьову панель. </t>
  </si>
  <si>
    <t>Перевірено один вхід для чинного тестового логіна з неправильним паролем Wrong123!: авторизація не відбулася, з’явилось «Invalid login or password»; поточна сторінка не змінюється.</t>
  </si>
  <si>
    <t>Перевірено стан після Logout: зникають Profile і Logout, з’являються Login/Register; прямий перехід до /profile не відкриває приватні дані; на моделі замість голосування показано «You need to be logged in to vote.».</t>
  </si>
  <si>
    <t>Перевірено, що Login недоступний для редагування, Hobby/Language — випадаючі списки, Save без змін неактивна. Після зміни First Name на TestUpdated натиснути Save через Tab/Enter; після F5 ім’я збереглося.</t>
  </si>
  <si>
    <t>Перевірено нижню допустиму межу Age = 0: значення приймається, Save завершується повідомленням про успіх; після F5 у полі Age залишається 0.</t>
  </si>
  <si>
    <t>Перевірено нижню недопустиму межу Age = -1: показано текстове повідомлення про межі віку; Save не зберігає -1, після оновлення лишається попередній вік.</t>
  </si>
  <si>
    <t>ENV-01; https://buggy.justtestit.org/; 28.10.2026; Chrome 156.0.8078.73, ОС Windows 11; тестовий запис</t>
  </si>
  <si>
    <t>Chrome 156.0.8078.73</t>
  </si>
  <si>
    <t>ОС Windows11</t>
  </si>
  <si>
    <t>Перевірено за одним тестовим акаунтом два голосування за ту саму модель у межах одного кейсу: перший голос зберігається, друга спроба не повинна бути доступна, а лічильник не повинен зростати вдруге.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</si>
</sst>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6">
    <font>
      <sz val="11"/>
      <name val="Carlito"/>
    </font>
    <font>
      <sz val="10"/>
      <color rgb="FF111111"/>
      <name val="Arial"/>
    </font>
    <font>
      <b/>
      <sz val="10"/>
      <color rgb="FF111111"/>
      <name val="Arial"/>
    </font>
    <font>
      <sz val="10"/>
      <name val="Arial"/>
    </font>
    <font>
      <b/>
      <sz val="10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2">
    <xf numFmtId="0" fontId="0" fillId="0" borderId="0"/>
    <xf numFmtId="0" fontId="5" fillId="0" borderId="0"/>
  </cellStyleXfs>
  <cellXfs count="7">
    <xf numFmtId="0" fontId="0" fillId="0" borderId="0" xfId="0"/>
    <xf numFmtId="0" fontId="1" fillId="0" borderId="1" xfId="1" applyNumberFormat="1" applyFont="1" applyFill="1" applyBorder="1" applyAlignment="1">
      <alignment vertical="top" wrapText="1"/>
    </xf>
    <xf numFmtId="0" fontId="2" fillId="2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Fill="1" applyBorder="1"/>
    <xf numFmtId="0" fontId="4" fillId="2" borderId="1" xfId="1" applyNumberFormat="1" applyFont="1" applyFill="1" applyBorder="1"/>
    <xf numFmtId="1" fontId="3" fillId="0" borderId="1" xfId="1" applyNumberFormat="1" applyFont="1" applyFill="1" applyBorder="1"/>
    <xf numFmtId="164" fontId="1" fillId="0" borderId="1" xfId="1" applyNumberFormat="1" applyFont="1" applyFill="1" applyBorder="1" applyAlignment="1">
      <alignment vertical="top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pane ySplit="1" topLeftCell="A25" activePane="bottomLeft" state="frozen"/>
      <selection pane="bottomLeft" activeCell="H36" sqref="H36"/>
    </sheetView>
  </sheetViews>
  <sheetFormatPr defaultRowHeight="14.25"/>
  <cols>
    <col min="1" max="1" width="8.875" customWidth="1"/>
    <col min="2" max="2" width="10" customWidth="1"/>
    <col min="3" max="3" width="12.25" customWidth="1"/>
    <col min="4" max="4" width="22.25" customWidth="1"/>
    <col min="5" max="5" width="40" customWidth="1"/>
    <col min="6" max="6" width="11.125" customWidth="1"/>
    <col min="7" max="7" width="12.25" customWidth="1"/>
    <col min="8" max="8" width="75.5" customWidth="1"/>
  </cols>
  <sheetData>
    <row r="1" spans="1:8" ht="31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>
      <c r="A2" s="1" t="s">
        <v>8</v>
      </c>
      <c r="B2" s="1" t="s">
        <v>9</v>
      </c>
      <c r="C2" s="6">
        <v>46323</v>
      </c>
      <c r="D2" s="1" t="s">
        <v>10</v>
      </c>
      <c r="E2" s="1" t="s">
        <v>11</v>
      </c>
      <c r="F2" s="1" t="s">
        <v>12</v>
      </c>
      <c r="G2" s="1"/>
      <c r="H2" s="1" t="s">
        <v>13</v>
      </c>
    </row>
    <row r="3" spans="1:8" ht="37.5" customHeight="1">
      <c r="A3" s="1" t="s">
        <v>8</v>
      </c>
      <c r="B3" s="1" t="s">
        <v>14</v>
      </c>
      <c r="C3" s="6">
        <v>46323</v>
      </c>
      <c r="D3" s="1" t="s">
        <v>10</v>
      </c>
      <c r="E3" s="1" t="s">
        <v>11</v>
      </c>
      <c r="F3" s="1" t="s">
        <v>15</v>
      </c>
      <c r="G3" s="1" t="s">
        <v>16</v>
      </c>
      <c r="H3" s="1" t="s">
        <v>17</v>
      </c>
    </row>
    <row r="4" spans="1:8" ht="37.5" customHeight="1">
      <c r="A4" s="1" t="s">
        <v>8</v>
      </c>
      <c r="B4" s="1" t="s">
        <v>18</v>
      </c>
      <c r="C4" s="6">
        <v>46323</v>
      </c>
      <c r="D4" s="1" t="s">
        <v>10</v>
      </c>
      <c r="E4" s="1" t="s">
        <v>11</v>
      </c>
      <c r="F4" s="1" t="s">
        <v>12</v>
      </c>
      <c r="G4" s="1"/>
      <c r="H4" s="1" t="s">
        <v>19</v>
      </c>
    </row>
    <row r="5" spans="1:8" ht="37.5" customHeight="1">
      <c r="A5" s="1" t="s">
        <v>8</v>
      </c>
      <c r="B5" s="1" t="s">
        <v>20</v>
      </c>
      <c r="C5" s="6">
        <v>46323</v>
      </c>
      <c r="D5" s="1" t="s">
        <v>10</v>
      </c>
      <c r="E5" s="1" t="s">
        <v>11</v>
      </c>
      <c r="F5" s="1" t="s">
        <v>12</v>
      </c>
      <c r="G5" s="1"/>
      <c r="H5" s="1" t="s">
        <v>21</v>
      </c>
    </row>
    <row r="6" spans="1:8" ht="37.5" customHeight="1">
      <c r="A6" s="1" t="s">
        <v>8</v>
      </c>
      <c r="B6" s="1" t="s">
        <v>22</v>
      </c>
      <c r="C6" s="6">
        <v>46323</v>
      </c>
      <c r="D6" s="1" t="s">
        <v>10</v>
      </c>
      <c r="E6" s="1" t="s">
        <v>11</v>
      </c>
      <c r="F6" s="1" t="s">
        <v>12</v>
      </c>
      <c r="G6" s="1"/>
      <c r="H6" s="1" t="s">
        <v>23</v>
      </c>
    </row>
    <row r="7" spans="1:8" ht="37.5" customHeight="1">
      <c r="A7" s="1" t="s">
        <v>8</v>
      </c>
      <c r="B7" s="1" t="s">
        <v>24</v>
      </c>
      <c r="C7" s="6">
        <v>46323</v>
      </c>
      <c r="D7" s="1" t="s">
        <v>10</v>
      </c>
      <c r="E7" s="1" t="s">
        <v>11</v>
      </c>
      <c r="F7" s="1" t="s">
        <v>15</v>
      </c>
      <c r="G7" s="1" t="s">
        <v>25</v>
      </c>
      <c r="H7" s="1" t="s">
        <v>26</v>
      </c>
    </row>
    <row r="8" spans="1:8" ht="37.5" customHeight="1">
      <c r="A8" s="1" t="s">
        <v>8</v>
      </c>
      <c r="B8" s="1" t="s">
        <v>27</v>
      </c>
      <c r="C8" s="6">
        <v>46323</v>
      </c>
      <c r="D8" s="1" t="s">
        <v>10</v>
      </c>
      <c r="E8" s="1" t="s">
        <v>11</v>
      </c>
      <c r="F8" s="1" t="s">
        <v>12</v>
      </c>
      <c r="G8" s="1"/>
      <c r="H8" s="1" t="s">
        <v>28</v>
      </c>
    </row>
    <row r="9" spans="1:8" ht="37.5" customHeight="1">
      <c r="A9" s="1" t="s">
        <v>8</v>
      </c>
      <c r="B9" s="1" t="s">
        <v>29</v>
      </c>
      <c r="C9" s="6">
        <v>46323</v>
      </c>
      <c r="D9" s="1" t="s">
        <v>10</v>
      </c>
      <c r="E9" s="1" t="s">
        <v>11</v>
      </c>
      <c r="F9" s="1" t="s">
        <v>12</v>
      </c>
      <c r="G9" s="1"/>
      <c r="H9" s="1" t="s">
        <v>28</v>
      </c>
    </row>
    <row r="10" spans="1:8" ht="37.5" customHeight="1">
      <c r="A10" s="1" t="s">
        <v>8</v>
      </c>
      <c r="B10" s="1" t="s">
        <v>30</v>
      </c>
      <c r="C10" s="6">
        <v>46323</v>
      </c>
      <c r="D10" s="1" t="s">
        <v>10</v>
      </c>
      <c r="E10" s="1" t="s">
        <v>11</v>
      </c>
      <c r="F10" s="1" t="s">
        <v>15</v>
      </c>
      <c r="G10" s="1" t="s">
        <v>31</v>
      </c>
      <c r="H10" s="1" t="s">
        <v>32</v>
      </c>
    </row>
    <row r="11" spans="1:8" ht="37.5" customHeight="1">
      <c r="A11" s="1" t="s">
        <v>8</v>
      </c>
      <c r="B11" s="1" t="s">
        <v>33</v>
      </c>
      <c r="C11" s="6">
        <v>46323</v>
      </c>
      <c r="D11" s="1" t="s">
        <v>10</v>
      </c>
      <c r="E11" s="1" t="s">
        <v>11</v>
      </c>
      <c r="F11" s="1" t="s">
        <v>15</v>
      </c>
      <c r="G11" s="1" t="s">
        <v>34</v>
      </c>
      <c r="H11" s="1" t="s">
        <v>35</v>
      </c>
    </row>
    <row r="12" spans="1:8" ht="37.5" customHeight="1">
      <c r="A12" s="1" t="s">
        <v>8</v>
      </c>
      <c r="B12" s="1" t="s">
        <v>36</v>
      </c>
      <c r="C12" s="6">
        <v>46323</v>
      </c>
      <c r="D12" s="1" t="s">
        <v>10</v>
      </c>
      <c r="E12" s="1" t="s">
        <v>11</v>
      </c>
      <c r="F12" s="1" t="s">
        <v>15</v>
      </c>
      <c r="G12" s="1" t="s">
        <v>37</v>
      </c>
      <c r="H12" s="1" t="s">
        <v>38</v>
      </c>
    </row>
    <row r="13" spans="1:8" ht="37.5" customHeight="1">
      <c r="A13" s="1" t="s">
        <v>8</v>
      </c>
      <c r="B13" s="1" t="s">
        <v>39</v>
      </c>
      <c r="C13" s="6">
        <v>46323</v>
      </c>
      <c r="D13" s="1" t="s">
        <v>10</v>
      </c>
      <c r="E13" s="1" t="s">
        <v>11</v>
      </c>
      <c r="F13" s="1" t="s">
        <v>12</v>
      </c>
      <c r="G13" s="1"/>
      <c r="H13" s="1" t="s">
        <v>40</v>
      </c>
    </row>
    <row r="14" spans="1:8" ht="37.5" customHeight="1">
      <c r="A14" s="1" t="s">
        <v>8</v>
      </c>
      <c r="B14" s="1" t="s">
        <v>41</v>
      </c>
      <c r="C14" s="6">
        <v>46323</v>
      </c>
      <c r="D14" s="1" t="s">
        <v>10</v>
      </c>
      <c r="E14" s="1" t="s">
        <v>11</v>
      </c>
      <c r="F14" s="1" t="s">
        <v>12</v>
      </c>
      <c r="G14" s="1"/>
      <c r="H14" s="1" t="s">
        <v>42</v>
      </c>
    </row>
    <row r="15" spans="1:8" ht="37.5" customHeight="1">
      <c r="A15" s="1" t="s">
        <v>8</v>
      </c>
      <c r="B15" s="1" t="s">
        <v>43</v>
      </c>
      <c r="C15" s="6">
        <v>46323</v>
      </c>
      <c r="D15" s="1" t="s">
        <v>10</v>
      </c>
      <c r="E15" s="1" t="s">
        <v>11</v>
      </c>
      <c r="F15" s="1" t="s">
        <v>12</v>
      </c>
      <c r="G15" s="1"/>
      <c r="H15" s="1" t="s">
        <v>44</v>
      </c>
    </row>
    <row r="16" spans="1:8" ht="37.5" customHeight="1">
      <c r="A16" s="1" t="s">
        <v>8</v>
      </c>
      <c r="B16" s="1" t="s">
        <v>45</v>
      </c>
      <c r="C16" s="6">
        <v>46323</v>
      </c>
      <c r="D16" s="1" t="s">
        <v>10</v>
      </c>
      <c r="E16" s="1" t="s">
        <v>11</v>
      </c>
      <c r="F16" s="1" t="s">
        <v>12</v>
      </c>
      <c r="G16" s="1"/>
      <c r="H16" s="1" t="s">
        <v>46</v>
      </c>
    </row>
    <row r="17" spans="1:8" ht="37.5" customHeight="1">
      <c r="A17" s="1" t="s">
        <v>8</v>
      </c>
      <c r="B17" s="1" t="s">
        <v>47</v>
      </c>
      <c r="C17" s="6">
        <v>46323</v>
      </c>
      <c r="D17" s="1" t="s">
        <v>10</v>
      </c>
      <c r="E17" s="1" t="s">
        <v>11</v>
      </c>
      <c r="F17" s="1" t="s">
        <v>15</v>
      </c>
      <c r="G17" s="1" t="s">
        <v>48</v>
      </c>
      <c r="H17" s="1" t="s">
        <v>49</v>
      </c>
    </row>
    <row r="18" spans="1:8" ht="37.5" customHeight="1">
      <c r="A18" s="1" t="s">
        <v>8</v>
      </c>
      <c r="B18" s="1" t="s">
        <v>50</v>
      </c>
      <c r="C18" s="6">
        <v>46323</v>
      </c>
      <c r="D18" s="1" t="s">
        <v>10</v>
      </c>
      <c r="E18" s="1" t="s">
        <v>11</v>
      </c>
      <c r="F18" s="1" t="s">
        <v>15</v>
      </c>
      <c r="G18" s="1" t="s">
        <v>51</v>
      </c>
      <c r="H18" s="1" t="s">
        <v>52</v>
      </c>
    </row>
    <row r="19" spans="1:8" ht="37.5" customHeight="1">
      <c r="A19" s="1" t="s">
        <v>8</v>
      </c>
      <c r="B19" s="1" t="s">
        <v>53</v>
      </c>
      <c r="C19" s="6">
        <v>46323</v>
      </c>
      <c r="D19" s="1" t="s">
        <v>10</v>
      </c>
      <c r="E19" s="1" t="s">
        <v>11</v>
      </c>
      <c r="F19" s="1" t="s">
        <v>15</v>
      </c>
      <c r="G19" s="1" t="s">
        <v>54</v>
      </c>
      <c r="H19" s="1" t="s">
        <v>55</v>
      </c>
    </row>
    <row r="20" spans="1:8" ht="37.5" customHeight="1">
      <c r="A20" s="1" t="s">
        <v>8</v>
      </c>
      <c r="B20" s="1" t="s">
        <v>56</v>
      </c>
      <c r="C20" s="6">
        <v>46323</v>
      </c>
      <c r="D20" s="1" t="s">
        <v>10</v>
      </c>
      <c r="E20" s="1" t="s">
        <v>11</v>
      </c>
      <c r="F20" s="1" t="s">
        <v>12</v>
      </c>
      <c r="G20" s="1"/>
      <c r="H20" s="1" t="s">
        <v>57</v>
      </c>
    </row>
    <row r="21" spans="1:8" ht="37.5" customHeight="1">
      <c r="A21" s="1" t="s">
        <v>8</v>
      </c>
      <c r="B21" s="1" t="s">
        <v>58</v>
      </c>
      <c r="C21" s="6">
        <v>46323</v>
      </c>
      <c r="D21" s="1" t="s">
        <v>10</v>
      </c>
      <c r="E21" s="1" t="s">
        <v>11</v>
      </c>
      <c r="F21" s="1" t="s">
        <v>12</v>
      </c>
      <c r="G21" s="1"/>
      <c r="H21" s="1" t="s">
        <v>59</v>
      </c>
    </row>
    <row r="22" spans="1:8" ht="37.5" customHeight="1">
      <c r="A22" s="1" t="s">
        <v>8</v>
      </c>
      <c r="B22" s="1" t="s">
        <v>60</v>
      </c>
      <c r="C22" s="6">
        <v>46323</v>
      </c>
      <c r="D22" s="1" t="s">
        <v>10</v>
      </c>
      <c r="E22" s="1" t="s">
        <v>11</v>
      </c>
      <c r="F22" s="1" t="s">
        <v>12</v>
      </c>
      <c r="G22" s="1"/>
      <c r="H22" s="1" t="s">
        <v>61</v>
      </c>
    </row>
    <row r="23" spans="1:8" ht="37.5" customHeight="1">
      <c r="A23" s="1" t="s">
        <v>8</v>
      </c>
      <c r="B23" s="1" t="s">
        <v>62</v>
      </c>
      <c r="C23" s="6">
        <v>46323</v>
      </c>
      <c r="D23" s="1" t="s">
        <v>10</v>
      </c>
      <c r="E23" s="1" t="s">
        <v>11</v>
      </c>
      <c r="F23" s="1" t="s">
        <v>12</v>
      </c>
      <c r="G23" s="1"/>
      <c r="H23" s="1" t="s">
        <v>63</v>
      </c>
    </row>
    <row r="24" spans="1:8" ht="37.5" customHeight="1">
      <c r="A24" s="1" t="s">
        <v>8</v>
      </c>
      <c r="B24" s="1" t="s">
        <v>64</v>
      </c>
      <c r="C24" s="6">
        <v>46323</v>
      </c>
      <c r="D24" s="1" t="s">
        <v>10</v>
      </c>
      <c r="E24" s="1" t="s">
        <v>11</v>
      </c>
      <c r="F24" s="1" t="s">
        <v>12</v>
      </c>
      <c r="G24" s="1"/>
      <c r="H24" s="1" t="s">
        <v>65</v>
      </c>
    </row>
    <row r="25" spans="1:8" ht="37.5" customHeight="1">
      <c r="A25" s="1" t="s">
        <v>8</v>
      </c>
      <c r="B25" s="1" t="s">
        <v>66</v>
      </c>
      <c r="C25" s="6">
        <v>46323</v>
      </c>
      <c r="D25" s="1" t="s">
        <v>10</v>
      </c>
      <c r="E25" s="1" t="s">
        <v>130</v>
      </c>
      <c r="F25" s="1" t="s">
        <v>12</v>
      </c>
      <c r="G25" s="1"/>
      <c r="H25" s="1" t="s">
        <v>123</v>
      </c>
    </row>
    <row r="26" spans="1:8" ht="37.5" customHeight="1">
      <c r="A26" s="1" t="s">
        <v>8</v>
      </c>
      <c r="B26" s="1" t="s">
        <v>67</v>
      </c>
      <c r="C26" s="6">
        <v>46323</v>
      </c>
      <c r="D26" s="1" t="s">
        <v>10</v>
      </c>
      <c r="E26" s="1" t="s">
        <v>130</v>
      </c>
      <c r="F26" s="1" t="s">
        <v>12</v>
      </c>
      <c r="G26" s="1"/>
      <c r="H26" s="1" t="s">
        <v>124</v>
      </c>
    </row>
    <row r="27" spans="1:8" ht="37.5" customHeight="1">
      <c r="A27" s="1" t="s">
        <v>8</v>
      </c>
      <c r="B27" s="1" t="s">
        <v>68</v>
      </c>
      <c r="C27" s="6">
        <v>46323</v>
      </c>
      <c r="D27" s="1" t="s">
        <v>10</v>
      </c>
      <c r="E27" s="1" t="s">
        <v>130</v>
      </c>
      <c r="F27" s="1" t="s">
        <v>12</v>
      </c>
      <c r="G27" s="1"/>
      <c r="H27" s="1" t="s">
        <v>125</v>
      </c>
    </row>
    <row r="28" spans="1:8" ht="37.5" customHeight="1">
      <c r="A28" s="1" t="s">
        <v>8</v>
      </c>
      <c r="B28" s="1" t="s">
        <v>69</v>
      </c>
      <c r="C28" s="6">
        <v>46323</v>
      </c>
      <c r="D28" s="1" t="s">
        <v>10</v>
      </c>
      <c r="E28" s="1" t="s">
        <v>130</v>
      </c>
      <c r="F28" s="1" t="s">
        <v>12</v>
      </c>
      <c r="G28" s="1"/>
      <c r="H28" s="1" t="s">
        <v>126</v>
      </c>
    </row>
    <row r="29" spans="1:8" ht="37.5" customHeight="1">
      <c r="A29" s="1" t="s">
        <v>8</v>
      </c>
      <c r="B29" s="1" t="s">
        <v>70</v>
      </c>
      <c r="C29" s="6">
        <v>46323</v>
      </c>
      <c r="D29" s="1" t="s">
        <v>10</v>
      </c>
      <c r="E29" s="1" t="s">
        <v>130</v>
      </c>
      <c r="F29" s="1" t="s">
        <v>12</v>
      </c>
      <c r="G29" s="1"/>
      <c r="H29" s="1" t="s">
        <v>127</v>
      </c>
    </row>
    <row r="30" spans="1:8" ht="37.5" customHeight="1">
      <c r="A30" s="1" t="s">
        <v>8</v>
      </c>
      <c r="B30" s="1" t="s">
        <v>71</v>
      </c>
      <c r="C30" s="6">
        <v>46323</v>
      </c>
      <c r="D30" s="1" t="s">
        <v>10</v>
      </c>
      <c r="E30" s="1" t="s">
        <v>130</v>
      </c>
      <c r="F30" s="1" t="s">
        <v>12</v>
      </c>
      <c r="G30" s="1"/>
      <c r="H30" s="1" t="s">
        <v>129</v>
      </c>
    </row>
    <row r="31" spans="1:8" ht="37.5" customHeight="1">
      <c r="A31" s="1" t="s">
        <v>8</v>
      </c>
      <c r="B31" s="1" t="s">
        <v>72</v>
      </c>
      <c r="C31" s="6">
        <v>46323</v>
      </c>
      <c r="D31" s="1" t="s">
        <v>10</v>
      </c>
      <c r="E31" s="1" t="s">
        <v>130</v>
      </c>
      <c r="F31" s="1" t="s">
        <v>12</v>
      </c>
      <c r="G31" s="1"/>
      <c r="H31" s="1" t="s">
        <v>128</v>
      </c>
    </row>
    <row r="32" spans="1:8" ht="37.5" customHeight="1">
      <c r="A32" s="1" t="s">
        <v>8</v>
      </c>
      <c r="B32" s="1" t="s">
        <v>73</v>
      </c>
      <c r="C32" s="6">
        <v>46323</v>
      </c>
      <c r="D32" s="1" t="s">
        <v>10</v>
      </c>
      <c r="E32" s="1" t="s">
        <v>130</v>
      </c>
      <c r="F32" s="1" t="s">
        <v>15</v>
      </c>
      <c r="G32" s="1"/>
      <c r="H32" s="1" t="s">
        <v>122</v>
      </c>
    </row>
    <row r="33" spans="1:8" ht="37.5" customHeight="1">
      <c r="A33" s="1" t="s">
        <v>8</v>
      </c>
      <c r="B33" s="1" t="s">
        <v>74</v>
      </c>
      <c r="C33" s="6">
        <v>46323</v>
      </c>
      <c r="D33" s="1" t="s">
        <v>10</v>
      </c>
      <c r="E33" s="1" t="s">
        <v>130</v>
      </c>
      <c r="F33" s="1" t="s">
        <v>12</v>
      </c>
      <c r="G33" s="1"/>
      <c r="H33" s="1" t="s">
        <v>118</v>
      </c>
    </row>
    <row r="34" spans="1:8" ht="37.5" customHeight="1">
      <c r="A34" s="1" t="s">
        <v>8</v>
      </c>
      <c r="B34" s="1" t="s">
        <v>75</v>
      </c>
      <c r="C34" s="6">
        <v>46323</v>
      </c>
      <c r="D34" s="1" t="s">
        <v>10</v>
      </c>
      <c r="E34" s="1" t="s">
        <v>130</v>
      </c>
      <c r="F34" s="1" t="s">
        <v>12</v>
      </c>
      <c r="G34" s="1"/>
      <c r="H34" s="1" t="s">
        <v>121</v>
      </c>
    </row>
    <row r="35" spans="1:8" ht="37.5" customHeight="1">
      <c r="A35" s="1" t="s">
        <v>8</v>
      </c>
      <c r="B35" s="1" t="s">
        <v>76</v>
      </c>
      <c r="C35" s="6">
        <v>46323</v>
      </c>
      <c r="D35" s="1" t="s">
        <v>10</v>
      </c>
      <c r="E35" s="1" t="s">
        <v>130</v>
      </c>
      <c r="F35" s="1" t="s">
        <v>12</v>
      </c>
      <c r="G35" s="1"/>
      <c r="H35" s="1" t="s">
        <v>119</v>
      </c>
    </row>
    <row r="36" spans="1:8" ht="37.5" customHeight="1">
      <c r="A36" s="1" t="s">
        <v>8</v>
      </c>
      <c r="B36" s="1" t="s">
        <v>77</v>
      </c>
      <c r="C36" s="6">
        <v>46323</v>
      </c>
      <c r="D36" s="1" t="s">
        <v>10</v>
      </c>
      <c r="E36" s="1" t="s">
        <v>130</v>
      </c>
      <c r="F36" s="1" t="s">
        <v>15</v>
      </c>
      <c r="G36" s="1"/>
      <c r="H36" s="1" t="s">
        <v>120</v>
      </c>
    </row>
    <row r="37" spans="1:8" ht="37.5" customHeight="1">
      <c r="A37" s="1" t="s">
        <v>8</v>
      </c>
      <c r="B37" s="1" t="s">
        <v>78</v>
      </c>
      <c r="C37" s="6">
        <v>46323</v>
      </c>
      <c r="D37" s="1" t="s">
        <v>10</v>
      </c>
      <c r="E37" s="1" t="s">
        <v>130</v>
      </c>
      <c r="F37" s="1" t="s">
        <v>12</v>
      </c>
      <c r="G37" s="1"/>
      <c r="H37" s="1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 activeCell="H7" sqref="H7"/>
    </sheetView>
  </sheetViews>
  <sheetFormatPr defaultRowHeight="14.25"/>
  <cols>
    <col min="1" max="1" width="28.375" customWidth="1"/>
    <col min="2" max="2" width="86.625" customWidth="1"/>
    <col min="3" max="3" width="2.75" customWidth="1"/>
    <col min="4" max="4" width="21.125" customWidth="1"/>
    <col min="5" max="5" width="11.125" customWidth="1"/>
  </cols>
  <sheetData>
    <row r="1" spans="1:5" ht="31.5" customHeight="1">
      <c r="A1" s="2" t="s">
        <v>79</v>
      </c>
      <c r="B1" s="2" t="s">
        <v>80</v>
      </c>
      <c r="D1" s="4" t="s">
        <v>81</v>
      </c>
      <c r="E1" s="4" t="s">
        <v>82</v>
      </c>
    </row>
    <row r="2" spans="1:5" ht="25.5" customHeight="1">
      <c r="A2" s="1" t="s">
        <v>83</v>
      </c>
      <c r="B2" s="1" t="s">
        <v>84</v>
      </c>
      <c r="D2" s="3" t="s">
        <v>85</v>
      </c>
      <c r="E2" s="5">
        <f>COUNTA('Run 1'!B2:B37)</f>
        <v>36</v>
      </c>
    </row>
    <row r="3" spans="1:5" ht="25.5" customHeight="1">
      <c r="A3" s="1" t="s">
        <v>86</v>
      </c>
      <c r="B3" s="1" t="s">
        <v>87</v>
      </c>
      <c r="D3" s="3" t="s">
        <v>12</v>
      </c>
      <c r="E3" s="5">
        <f>COUNTIFS('Run 1'!$F$2:$F$37,D3)</f>
        <v>26</v>
      </c>
    </row>
    <row r="4" spans="1:5" ht="25.5" customHeight="1">
      <c r="A4" s="1" t="s">
        <v>88</v>
      </c>
      <c r="B4" s="1" t="s">
        <v>89</v>
      </c>
      <c r="D4" s="3" t="s">
        <v>15</v>
      </c>
      <c r="E4" s="5">
        <f>COUNTIFS('Run 1'!$F$2:$F$37,D4)</f>
        <v>10</v>
      </c>
    </row>
    <row r="5" spans="1:5" ht="25.5" customHeight="1">
      <c r="A5" s="1" t="s">
        <v>90</v>
      </c>
      <c r="B5" s="1" t="s">
        <v>91</v>
      </c>
      <c r="D5" s="3" t="s">
        <v>115</v>
      </c>
      <c r="E5" s="5">
        <f>E4</f>
        <v>10</v>
      </c>
    </row>
    <row r="6" spans="1:5" ht="25.5" customHeight="1">
      <c r="A6" s="1" t="s">
        <v>92</v>
      </c>
      <c r="B6" s="1" t="s">
        <v>93</v>
      </c>
      <c r="D6" s="3" t="s">
        <v>116</v>
      </c>
      <c r="E6" s="5">
        <f>SUM(E3:E4)</f>
        <v>36</v>
      </c>
    </row>
    <row r="7" spans="1:5" ht="25.5" customHeight="1">
      <c r="A7" s="1" t="s">
        <v>94</v>
      </c>
      <c r="B7" s="1" t="s">
        <v>131</v>
      </c>
    </row>
    <row r="8" spans="1:5" ht="25.5" customHeight="1">
      <c r="A8" s="1" t="s">
        <v>95</v>
      </c>
      <c r="B8" s="1" t="s">
        <v>132</v>
      </c>
    </row>
    <row r="9" spans="1:5" ht="25.5" customHeight="1">
      <c r="A9" s="1" t="s">
        <v>96</v>
      </c>
      <c r="B9" s="1" t="s">
        <v>97</v>
      </c>
    </row>
    <row r="10" spans="1:5" ht="25.5" customHeight="1">
      <c r="A10" s="1" t="s">
        <v>98</v>
      </c>
      <c r="B10" s="1" t="s">
        <v>99</v>
      </c>
    </row>
    <row r="11" spans="1:5" ht="25.5" customHeight="1">
      <c r="A11" s="1" t="s">
        <v>100</v>
      </c>
      <c r="B11" s="1" t="s">
        <v>101</v>
      </c>
    </row>
    <row r="12" spans="1:5" ht="37.5" customHeight="1">
      <c r="A12" s="1" t="s">
        <v>102</v>
      </c>
      <c r="B12" s="1" t="s">
        <v>103</v>
      </c>
    </row>
    <row r="13" spans="1:5" ht="25.5" customHeight="1">
      <c r="A13" s="1" t="s">
        <v>104</v>
      </c>
      <c r="B13" s="1" t="s">
        <v>105</v>
      </c>
    </row>
    <row r="14" spans="1:5" ht="25.5" customHeight="1">
      <c r="A14" s="1" t="s">
        <v>106</v>
      </c>
      <c r="B14" s="1" t="s">
        <v>107</v>
      </c>
    </row>
    <row r="15" spans="1:5" ht="25.5" customHeight="1">
      <c r="A15" s="1" t="s">
        <v>108</v>
      </c>
      <c r="B15" s="1" t="s">
        <v>117</v>
      </c>
    </row>
    <row r="16" spans="1:5" ht="25.5" customHeight="1">
      <c r="A16" s="1" t="s">
        <v>109</v>
      </c>
      <c r="B16" s="1" t="s">
        <v>110</v>
      </c>
    </row>
    <row r="17" spans="1:2" ht="37.5" customHeight="1">
      <c r="A17" s="1" t="s">
        <v>111</v>
      </c>
      <c r="B17" s="1" t="s">
        <v>112</v>
      </c>
    </row>
    <row r="18" spans="1:2" ht="25.5" customHeight="1">
      <c r="A18" s="1" t="s">
        <v>113</v>
      </c>
      <c r="B18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Run 1</vt:lpstr>
      <vt:lpstr>Environment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Yevgen Rushay</cp:lastModifiedBy>
  <dcterms:modified xsi:type="dcterms:W3CDTF">2026-10-29T10:25:47Z</dcterms:modified>
</cp:coreProperties>
</file>